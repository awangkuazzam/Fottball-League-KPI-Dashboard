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ZZAM\Desktop\Modul Self learning\portfolio and mini project\"/>
    </mc:Choice>
  </mc:AlternateContent>
  <xr:revisionPtr revIDLastSave="0" documentId="13_ncr:1_{F16F0EAC-0B36-4E5C-911F-3506CDE00026}" xr6:coauthVersionLast="47" xr6:coauthVersionMax="47" xr10:uidLastSave="{00000000-0000-0000-0000-000000000000}"/>
  <bookViews>
    <workbookView xWindow="28680" yWindow="-120" windowWidth="29040" windowHeight="16440" tabRatio="500" activeTab="3" xr2:uid="{00000000-000D-0000-FFFF-FFFF00000000}"/>
  </bookViews>
  <sheets>
    <sheet name="Raw Player Data" sheetId="1" r:id="rId1"/>
    <sheet name="Team Summary" sheetId="2" r:id="rId2"/>
    <sheet name="Chart &amp; Visual" sheetId="3" r:id="rId3"/>
    <sheet name="Dashboard" sheetId="5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5" l="1"/>
  <c r="F29" i="5"/>
  <c r="J42" i="5"/>
  <c r="I42" i="5"/>
  <c r="H42" i="5"/>
  <c r="G42" i="5"/>
  <c r="F42" i="5"/>
  <c r="J41" i="5"/>
  <c r="I41" i="5"/>
  <c r="H41" i="5"/>
  <c r="G41" i="5"/>
  <c r="F41" i="5"/>
  <c r="J40" i="5"/>
  <c r="I40" i="5"/>
  <c r="H40" i="5"/>
  <c r="G40" i="5"/>
  <c r="F40" i="5"/>
  <c r="J39" i="5"/>
  <c r="I39" i="5"/>
  <c r="H39" i="5"/>
  <c r="G39" i="5"/>
  <c r="F39" i="5"/>
  <c r="J29" i="5"/>
  <c r="B29" i="5"/>
  <c r="J20" i="5"/>
  <c r="J19" i="5"/>
  <c r="F19" i="5"/>
  <c r="F12" i="5"/>
  <c r="F13" i="5"/>
  <c r="B12" i="5"/>
  <c r="B19" i="5"/>
  <c r="J12" i="5"/>
  <c r="B13" i="5"/>
  <c r="J5" i="5"/>
  <c r="F5" i="5"/>
  <c r="E27" i="2"/>
  <c r="E33" i="2"/>
  <c r="E36" i="2"/>
  <c r="E39" i="2"/>
  <c r="E31" i="2"/>
  <c r="E29" i="2"/>
  <c r="E42" i="2"/>
  <c r="E30" i="2"/>
  <c r="E35" i="2"/>
  <c r="E40" i="2"/>
  <c r="E34" i="2"/>
  <c r="E44" i="2"/>
  <c r="E28" i="2"/>
  <c r="E37" i="2"/>
  <c r="E43" i="2"/>
  <c r="E38" i="2"/>
  <c r="E26" i="2"/>
  <c r="E41" i="2"/>
  <c r="E32" i="2"/>
  <c r="E25" i="2"/>
  <c r="D27" i="2"/>
  <c r="D33" i="2"/>
  <c r="D36" i="2"/>
  <c r="D39" i="2"/>
  <c r="D31" i="2"/>
  <c r="D29" i="2"/>
  <c r="D42" i="2"/>
  <c r="D30" i="2"/>
  <c r="D35" i="2"/>
  <c r="D40" i="2"/>
  <c r="D34" i="2"/>
  <c r="D44" i="2"/>
  <c r="D28" i="2"/>
  <c r="D37" i="2"/>
  <c r="D43" i="2"/>
  <c r="D38" i="2"/>
  <c r="D26" i="2"/>
  <c r="D41" i="2"/>
  <c r="D32" i="2"/>
  <c r="D25" i="2"/>
  <c r="C27" i="2"/>
  <c r="C33" i="2"/>
  <c r="C36" i="2"/>
  <c r="C39" i="2"/>
  <c r="C31" i="2"/>
  <c r="C29" i="2"/>
  <c r="C42" i="2"/>
  <c r="C30" i="2"/>
  <c r="C35" i="2"/>
  <c r="C40" i="2"/>
  <c r="C34" i="2"/>
  <c r="C44" i="2"/>
  <c r="C28" i="2"/>
  <c r="C37" i="2"/>
  <c r="C43" i="2"/>
  <c r="C38" i="2"/>
  <c r="C26" i="2"/>
  <c r="C41" i="2"/>
  <c r="C32" i="2"/>
  <c r="C25" i="2"/>
  <c r="F19" i="2"/>
  <c r="F18" i="2"/>
  <c r="F17" i="2"/>
  <c r="E19" i="2"/>
  <c r="E18" i="2"/>
  <c r="E17" i="2"/>
  <c r="D17" i="2"/>
  <c r="D19" i="2"/>
  <c r="D18" i="2"/>
  <c r="C19" i="2"/>
  <c r="C18" i="2"/>
  <c r="C17" i="2"/>
  <c r="G8" i="2"/>
  <c r="G9" i="2"/>
  <c r="G10" i="2"/>
  <c r="G11" i="2"/>
  <c r="F8" i="2"/>
  <c r="F9" i="2"/>
  <c r="F10" i="2"/>
  <c r="F11" i="2"/>
  <c r="E8" i="2"/>
  <c r="E9" i="2"/>
  <c r="E10" i="2"/>
  <c r="E11" i="2"/>
  <c r="D8" i="2"/>
  <c r="D9" i="2"/>
  <c r="D10" i="2"/>
  <c r="D11" i="2"/>
  <c r="C9" i="2"/>
  <c r="C10" i="2"/>
  <c r="C11" i="2"/>
  <c r="C8" i="2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</calcChain>
</file>

<file path=xl/sharedStrings.xml><?xml version="1.0" encoding="utf-8"?>
<sst xmlns="http://schemas.openxmlformats.org/spreadsheetml/2006/main" count="172" uniqueCount="82">
  <si>
    <t>Player Name</t>
  </si>
  <si>
    <t>Team</t>
  </si>
  <si>
    <t>Position</t>
  </si>
  <si>
    <t>Age</t>
  </si>
  <si>
    <t>Appearances</t>
  </si>
  <si>
    <t>Goals</t>
  </si>
  <si>
    <t>Assists</t>
  </si>
  <si>
    <t>Shots</t>
  </si>
  <si>
    <t>Shots on Target</t>
  </si>
  <si>
    <t>Passes</t>
  </si>
  <si>
    <t>Pass Accuracy (%)</t>
  </si>
  <si>
    <t>Tackles</t>
  </si>
  <si>
    <t>Interceptions</t>
  </si>
  <si>
    <t>Yellow Cards</t>
  </si>
  <si>
    <t>Red Cards</t>
  </si>
  <si>
    <t>Minutes Played</t>
  </si>
  <si>
    <t>Avg Match Rating</t>
  </si>
  <si>
    <t>Liam Walker</t>
  </si>
  <si>
    <t>FC Northgate</t>
  </si>
  <si>
    <t>FW</t>
  </si>
  <si>
    <t>Carlos Mendez</t>
  </si>
  <si>
    <t>Riverside City</t>
  </si>
  <si>
    <t>James Harlow</t>
  </si>
  <si>
    <t>MF</t>
  </si>
  <si>
    <t>Tomás Reyes</t>
  </si>
  <si>
    <t>Valley United</t>
  </si>
  <si>
    <t>Noah Fischer</t>
  </si>
  <si>
    <t>Eastside FC</t>
  </si>
  <si>
    <t>DF</t>
  </si>
  <si>
    <t>Kai Yamamoto</t>
  </si>
  <si>
    <t>Diego Fontana</t>
  </si>
  <si>
    <t>Alex Prentice</t>
  </si>
  <si>
    <t>Mateus Oliveira</t>
  </si>
  <si>
    <t>Sam Colton</t>
  </si>
  <si>
    <t>Ivan Petrov</t>
  </si>
  <si>
    <t>Henri Leclair</t>
  </si>
  <si>
    <t>Owen Brady</t>
  </si>
  <si>
    <t>Yusuf Abiodun</t>
  </si>
  <si>
    <t>Finn Larsson</t>
  </si>
  <si>
    <t>Marco Bianchi</t>
  </si>
  <si>
    <t>Tyler Nash</t>
  </si>
  <si>
    <t>Rafael Torres</t>
  </si>
  <si>
    <t>Lucas Brennan</t>
  </si>
  <si>
    <t>Arjun Sharma</t>
  </si>
  <si>
    <t>Shot Conversion Rate %</t>
  </si>
  <si>
    <t>Goal Contribution</t>
  </si>
  <si>
    <t>Minutes per goal</t>
  </si>
  <si>
    <t>Total Goals</t>
  </si>
  <si>
    <t>Total Assists</t>
  </si>
  <si>
    <t>Avg Rating</t>
  </si>
  <si>
    <t>Avg Pass Accuracy (%)</t>
  </si>
  <si>
    <t>Total Tackles</t>
  </si>
  <si>
    <t>TEAM SUMMARY</t>
  </si>
  <si>
    <t>POSITION BREAKDOWN</t>
  </si>
  <si>
    <t>Player Count</t>
  </si>
  <si>
    <t>Avg Goal</t>
  </si>
  <si>
    <t>Avg Assist</t>
  </si>
  <si>
    <t>Forward</t>
  </si>
  <si>
    <t>Midfield</t>
  </si>
  <si>
    <t>Defender</t>
  </si>
  <si>
    <t>TOP SCORER</t>
  </si>
  <si>
    <t>Player</t>
  </si>
  <si>
    <t xml:space="preserve">Goal </t>
  </si>
  <si>
    <t>Row Labels</t>
  </si>
  <si>
    <t>Grand Total</t>
  </si>
  <si>
    <t>Sum of Goals</t>
  </si>
  <si>
    <t>Sum of Assists</t>
  </si>
  <si>
    <t>Average of Avg Match Rating</t>
  </si>
  <si>
    <t>FOOTBALL LEAGUE - KPI DASHBOARD</t>
  </si>
  <si>
    <t>TOTAL GOALS</t>
  </si>
  <si>
    <t>TOTAL ASSISTS</t>
  </si>
  <si>
    <t>AVG RATING</t>
  </si>
  <si>
    <t>BEST PASS ACC %</t>
  </si>
  <si>
    <t>TOTAL YELLOW CARDS</t>
  </si>
  <si>
    <t>TOP SCORE</t>
  </si>
  <si>
    <t>TOP ASSIST</t>
  </si>
  <si>
    <t>TOTAL RED CARDS</t>
  </si>
  <si>
    <t>MOST APPEARANCES PLAYER</t>
  </si>
  <si>
    <t>TOP PERFORMER</t>
  </si>
  <si>
    <t>TOP GOAL</t>
  </si>
  <si>
    <t>HIGHEST RATED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</si>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</sst>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1C1C1C"/>
      <name val="Arial"/>
      <charset val="1"/>
    </font>
    <font>
      <sz val="10"/>
      <color rgb="FF1C1C1C"/>
      <name val="Arial"/>
      <family val="2"/>
    </font>
    <font>
      <b/>
      <sz val="11"/>
      <color theme="1"/>
      <name val="Calibri"/>
      <family val="2"/>
    </font>
    <font>
      <b/>
      <sz val="16"/>
      <color rgb="FFFFC000"/>
      <name val="Calibri"/>
      <family val="2"/>
    </font>
    <font>
      <sz val="11"/>
      <color theme="9" tint="0.59999389629810485"/>
      <name val="Calibri"/>
      <family val="2"/>
      <charset val="1"/>
    </font>
    <font>
      <b/>
      <sz val="11"/>
      <color theme="9" tint="0.59999389629810485"/>
      <name val="Calibri"/>
      <family val="2"/>
    </font>
    <font>
      <b/>
      <sz val="28"/>
      <color theme="9" tint="0.59999389629810485"/>
      <name val="Calibri"/>
      <family val="2"/>
    </font>
    <font>
      <sz val="16"/>
      <color theme="9" tint="0.59999389629810485"/>
      <name val="Calibri"/>
      <family val="2"/>
    </font>
    <font>
      <b/>
      <sz val="18"/>
      <color theme="9" tint="0.59999389629810485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F4F6F9"/>
        <bgColor rgb="FFFFFFFF"/>
      </patternFill>
    </fill>
    <fill>
      <patternFill patternType="solid">
        <fgColor rgb="FFFFFFFF"/>
        <bgColor rgb="FFF4F6F9"/>
      </patternFill>
    </fill>
    <fill>
      <patternFill patternType="solid">
        <fgColor theme="2"/>
        <bgColor indexed="64"/>
      </patternFill>
    </fill>
    <fill>
      <patternFill patternType="solid">
        <fgColor rgb="FF001E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0" fillId="9" borderId="0" xfId="0" applyFill="1"/>
    <xf numFmtId="0" fontId="0" fillId="8" borderId="0" xfId="0" applyFill="1"/>
    <xf numFmtId="0" fontId="10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7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family val="2"/>
        <scheme val="none"/>
      </font>
      <fill>
        <patternFill patternType="solid">
          <fgColor rgb="FFF4F6F9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numFmt numFmtId="0" formatCode="General"/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numFmt numFmtId="0" formatCode="General"/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numFmt numFmtId="0" formatCode="General"/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C1C"/>
        <name val="Arial"/>
        <charset val="1"/>
        <scheme val="none"/>
      </font>
      <fill>
        <patternFill patternType="solid">
          <fgColor rgb="FFF4F6F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99"/>
          <bgColor rgb="FF1B4F7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fill>
        <patternFill patternType="solid">
          <fgColor indexed="64"/>
          <bgColor theme="3" tint="-0.24997711111789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1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'Raw Player Data'!$F$2:$F$21</c:f>
              <c:numCache>
                <c:formatCode>General</c:formatCode>
                <c:ptCount val="20"/>
                <c:pt idx="0">
                  <c:v>22</c:v>
                </c:pt>
                <c:pt idx="1">
                  <c:v>19</c:v>
                </c:pt>
                <c:pt idx="2">
                  <c:v>11</c:v>
                </c:pt>
                <c:pt idx="3">
                  <c:v>8</c:v>
                </c:pt>
                <c:pt idx="4">
                  <c:v>3</c:v>
                </c:pt>
                <c:pt idx="5">
                  <c:v>13</c:v>
                </c:pt>
                <c:pt idx="6">
                  <c:v>17</c:v>
                </c:pt>
                <c:pt idx="7">
                  <c:v>1</c:v>
                </c:pt>
                <c:pt idx="8">
                  <c:v>15</c:v>
                </c:pt>
                <c:pt idx="9">
                  <c:v>9</c:v>
                </c:pt>
                <c:pt idx="10">
                  <c:v>2</c:v>
                </c:pt>
                <c:pt idx="11">
                  <c:v>10</c:v>
                </c:pt>
                <c:pt idx="12">
                  <c:v>0</c:v>
                </c:pt>
                <c:pt idx="13">
                  <c:v>18</c:v>
                </c:pt>
                <c:pt idx="14">
                  <c:v>7</c:v>
                </c:pt>
                <c:pt idx="15">
                  <c:v>1</c:v>
                </c:pt>
                <c:pt idx="16">
                  <c:v>6</c:v>
                </c:pt>
                <c:pt idx="17">
                  <c:v>20</c:v>
                </c:pt>
                <c:pt idx="18">
                  <c:v>2</c:v>
                </c:pt>
                <c:pt idx="19">
                  <c:v>12</c:v>
                </c:pt>
              </c:numCache>
            </c:numRef>
          </c:xVal>
          <c:yVal>
            <c:numRef>
              <c:f>'Raw Player Data'!$H$2:$H$21</c:f>
              <c:numCache>
                <c:formatCode>General</c:formatCode>
                <c:ptCount val="20"/>
                <c:pt idx="0">
                  <c:v>87</c:v>
                </c:pt>
                <c:pt idx="1">
                  <c:v>74</c:v>
                </c:pt>
                <c:pt idx="2">
                  <c:v>45</c:v>
                </c:pt>
                <c:pt idx="3">
                  <c:v>38</c:v>
                </c:pt>
                <c:pt idx="4">
                  <c:v>14</c:v>
                </c:pt>
                <c:pt idx="5">
                  <c:v>52</c:v>
                </c:pt>
                <c:pt idx="6">
                  <c:v>69</c:v>
                </c:pt>
                <c:pt idx="7">
                  <c:v>9</c:v>
                </c:pt>
                <c:pt idx="8">
                  <c:v>63</c:v>
                </c:pt>
                <c:pt idx="9">
                  <c:v>41</c:v>
                </c:pt>
                <c:pt idx="10">
                  <c:v>11</c:v>
                </c:pt>
                <c:pt idx="11">
                  <c:v>47</c:v>
                </c:pt>
                <c:pt idx="12">
                  <c:v>8</c:v>
                </c:pt>
                <c:pt idx="13">
                  <c:v>71</c:v>
                </c:pt>
                <c:pt idx="14">
                  <c:v>36</c:v>
                </c:pt>
                <c:pt idx="15">
                  <c:v>7</c:v>
                </c:pt>
                <c:pt idx="16">
                  <c:v>33</c:v>
                </c:pt>
                <c:pt idx="17">
                  <c:v>80</c:v>
                </c:pt>
                <c:pt idx="18">
                  <c:v>12</c:v>
                </c:pt>
                <c:pt idx="1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E-4A7A-9769-AE75F0AB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0735"/>
        <c:axId val="1262130255"/>
      </c:scatterChart>
      <c:valAx>
        <c:axId val="126213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255"/>
        <c:crosses val="autoZero"/>
        <c:crossBetween val="midCat"/>
      </c:valAx>
      <c:valAx>
        <c:axId val="126213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19028871391088E-2"/>
          <c:y val="0.18409530294300797"/>
          <c:w val="0.87664304461942255"/>
          <c:h val="0.58303239811209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&amp; Visual'!$B$3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&amp; Visual'!$A$4:$A$8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Visual'!$B$4:$B$8</c:f>
              <c:numCache>
                <c:formatCode>General</c:formatCode>
                <c:ptCount val="4"/>
                <c:pt idx="0">
                  <c:v>33</c:v>
                </c:pt>
                <c:pt idx="1">
                  <c:v>54</c:v>
                </c:pt>
                <c:pt idx="2">
                  <c:v>63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3A-457D-AD7D-F7287DAEDFA2}"/>
            </c:ext>
          </c:extLst>
        </c:ser>
        <c:ser>
          <c:idx val="1"/>
          <c:order val="1"/>
          <c:tx>
            <c:strRef>
              <c:f>'Chart &amp; Visual'!$C$3</c:f>
              <c:strCache>
                <c:ptCount val="1"/>
                <c:pt idx="0">
                  <c:v>Sum of Assists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&amp; Visual'!$A$4:$A$8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Visual'!$C$4:$C$8</c:f>
              <c:numCache>
                <c:formatCode>General</c:formatCode>
                <c:ptCount val="4"/>
                <c:pt idx="0">
                  <c:v>34</c:v>
                </c:pt>
                <c:pt idx="1">
                  <c:v>45</c:v>
                </c:pt>
                <c:pt idx="2">
                  <c:v>46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3A-457D-AD7D-F7287DAED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41455"/>
        <c:axId val="73342415"/>
      </c:barChart>
      <c:catAx>
        <c:axId val="733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2415"/>
        <c:crosses val="autoZero"/>
        <c:auto val="1"/>
        <c:lblAlgn val="ctr"/>
        <c:lblOffset val="100"/>
        <c:noMultiLvlLbl val="0"/>
      </c:catAx>
      <c:valAx>
        <c:axId val="733424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</a:p>
            </c:rich>
          </c:tx>
          <c:layout>
            <c:manualLayout>
              <c:xMode val="edge"/>
              <c:yMode val="edge"/>
              <c:x val="1.2500000000000001E-2"/>
              <c:y val="6.17291212092464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32874015748032"/>
          <c:y val="0.8411580178983652"/>
          <c:w val="0.61508792650918642"/>
          <c:h val="9.1445466906998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9342373869932925"/>
          <c:w val="0.82527515310586175"/>
          <c:h val="0.54741980169145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&amp; Visual'!$B$11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&amp; Visual'!$A$12:$A$15</c:f>
              <c:strCache>
                <c:ptCount val="3"/>
                <c:pt idx="0">
                  <c:v>DF</c:v>
                </c:pt>
                <c:pt idx="1">
                  <c:v>FW</c:v>
                </c:pt>
                <c:pt idx="2">
                  <c:v>MF</c:v>
                </c:pt>
              </c:strCache>
            </c:strRef>
          </c:cat>
          <c:val>
            <c:numRef>
              <c:f>'Chart &amp; Visual'!$B$12:$B$15</c:f>
              <c:numCache>
                <c:formatCode>General</c:formatCode>
                <c:ptCount val="3"/>
                <c:pt idx="0">
                  <c:v>9</c:v>
                </c:pt>
                <c:pt idx="1">
                  <c:v>123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7-4CDF-91BE-41A7EE2AE8C5}"/>
            </c:ext>
          </c:extLst>
        </c:ser>
        <c:ser>
          <c:idx val="1"/>
          <c:order val="1"/>
          <c:tx>
            <c:strRef>
              <c:f>'Chart &amp; Visual'!$C$11</c:f>
              <c:strCache>
                <c:ptCount val="1"/>
                <c:pt idx="0">
                  <c:v>Sum of Assists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'Chart &amp; Visual'!$A$12:$A$15</c:f>
              <c:strCache>
                <c:ptCount val="3"/>
                <c:pt idx="0">
                  <c:v>DF</c:v>
                </c:pt>
                <c:pt idx="1">
                  <c:v>FW</c:v>
                </c:pt>
                <c:pt idx="2">
                  <c:v>MF</c:v>
                </c:pt>
              </c:strCache>
            </c:strRef>
          </c:cat>
          <c:val>
            <c:numRef>
              <c:f>'Chart &amp; Visual'!$C$12:$C$15</c:f>
              <c:numCache>
                <c:formatCode>General</c:formatCode>
                <c:ptCount val="3"/>
                <c:pt idx="0">
                  <c:v>23</c:v>
                </c:pt>
                <c:pt idx="1">
                  <c:v>60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C7-4CDF-91BE-41A7EE2AE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7535"/>
        <c:axId val="151282735"/>
      </c:barChart>
      <c:catAx>
        <c:axId val="15128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2735"/>
        <c:crosses val="autoZero"/>
        <c:auto val="1"/>
        <c:lblAlgn val="ctr"/>
        <c:lblOffset val="100"/>
        <c:noMultiLvlLbl val="0"/>
      </c:catAx>
      <c:valAx>
        <c:axId val="15128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07830271216095"/>
          <c:y val="0.83268554972295128"/>
          <c:w val="0.77047725284339452"/>
          <c:h val="0.1494433508311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GOALS vs SHOTS</a:t>
            </a:r>
          </a:p>
        </c:rich>
      </c:tx>
      <c:layout>
        <c:manualLayout>
          <c:xMode val="edge"/>
          <c:yMode val="edge"/>
          <c:x val="0.4456041119860018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539305111613529E-2"/>
          <c:y val="0.21800925925925929"/>
          <c:w val="0.86123832540734391"/>
          <c:h val="0.5764198745990084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'Raw Player Data'!$F$2:$F$21</c:f>
              <c:numCache>
                <c:formatCode>General</c:formatCode>
                <c:ptCount val="20"/>
                <c:pt idx="0">
                  <c:v>22</c:v>
                </c:pt>
                <c:pt idx="1">
                  <c:v>19</c:v>
                </c:pt>
                <c:pt idx="2">
                  <c:v>11</c:v>
                </c:pt>
                <c:pt idx="3">
                  <c:v>8</c:v>
                </c:pt>
                <c:pt idx="4">
                  <c:v>3</c:v>
                </c:pt>
                <c:pt idx="5">
                  <c:v>13</c:v>
                </c:pt>
                <c:pt idx="6">
                  <c:v>17</c:v>
                </c:pt>
                <c:pt idx="7">
                  <c:v>1</c:v>
                </c:pt>
                <c:pt idx="8">
                  <c:v>15</c:v>
                </c:pt>
                <c:pt idx="9">
                  <c:v>9</c:v>
                </c:pt>
                <c:pt idx="10">
                  <c:v>2</c:v>
                </c:pt>
                <c:pt idx="11">
                  <c:v>10</c:v>
                </c:pt>
                <c:pt idx="12">
                  <c:v>0</c:v>
                </c:pt>
                <c:pt idx="13">
                  <c:v>18</c:v>
                </c:pt>
                <c:pt idx="14">
                  <c:v>7</c:v>
                </c:pt>
                <c:pt idx="15">
                  <c:v>1</c:v>
                </c:pt>
                <c:pt idx="16">
                  <c:v>6</c:v>
                </c:pt>
                <c:pt idx="17">
                  <c:v>20</c:v>
                </c:pt>
                <c:pt idx="18">
                  <c:v>2</c:v>
                </c:pt>
                <c:pt idx="19">
                  <c:v>12</c:v>
                </c:pt>
              </c:numCache>
            </c:numRef>
          </c:xVal>
          <c:yVal>
            <c:numRef>
              <c:f>'Raw Player Data'!$H$2:$H$21</c:f>
              <c:numCache>
                <c:formatCode>General</c:formatCode>
                <c:ptCount val="20"/>
                <c:pt idx="0">
                  <c:v>87</c:v>
                </c:pt>
                <c:pt idx="1">
                  <c:v>74</c:v>
                </c:pt>
                <c:pt idx="2">
                  <c:v>45</c:v>
                </c:pt>
                <c:pt idx="3">
                  <c:v>38</c:v>
                </c:pt>
                <c:pt idx="4">
                  <c:v>14</c:v>
                </c:pt>
                <c:pt idx="5">
                  <c:v>52</c:v>
                </c:pt>
                <c:pt idx="6">
                  <c:v>69</c:v>
                </c:pt>
                <c:pt idx="7">
                  <c:v>9</c:v>
                </c:pt>
                <c:pt idx="8">
                  <c:v>63</c:v>
                </c:pt>
                <c:pt idx="9">
                  <c:v>41</c:v>
                </c:pt>
                <c:pt idx="10">
                  <c:v>11</c:v>
                </c:pt>
                <c:pt idx="11">
                  <c:v>47</c:v>
                </c:pt>
                <c:pt idx="12">
                  <c:v>8</c:v>
                </c:pt>
                <c:pt idx="13">
                  <c:v>71</c:v>
                </c:pt>
                <c:pt idx="14">
                  <c:v>36</c:v>
                </c:pt>
                <c:pt idx="15">
                  <c:v>7</c:v>
                </c:pt>
                <c:pt idx="16">
                  <c:v>33</c:v>
                </c:pt>
                <c:pt idx="17">
                  <c:v>80</c:v>
                </c:pt>
                <c:pt idx="18">
                  <c:v>12</c:v>
                </c:pt>
                <c:pt idx="1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AB-490A-A1C7-BBD602AC1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0735"/>
        <c:axId val="1262130255"/>
      </c:scatterChart>
      <c:valAx>
        <c:axId val="126213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aseline="0"/>
                  <a:t>Goals Scored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255"/>
        <c:crosses val="autoZero"/>
        <c:crossBetween val="midCat"/>
      </c:valAx>
      <c:valAx>
        <c:axId val="126213025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Shots</a:t>
                </a:r>
                <a:endParaRPr lang="en-MY"/>
              </a:p>
            </c:rich>
          </c:tx>
          <c:layout>
            <c:manualLayout>
              <c:xMode val="edge"/>
              <c:yMode val="edge"/>
              <c:x val="3.0555555555555555E-2"/>
              <c:y val="8.40664187809856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735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Visual!PivotTable3</c:name>
    <c:fmtId val="3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19291338582679"/>
          <c:y val="9.5635453663534459E-2"/>
          <c:w val="0.62535804899387581"/>
          <c:h val="0.772457035732797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&amp; Visual'!$B$24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'Chart &amp; Visual'!$A$25:$A$29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Visual'!$B$25:$B$29</c:f>
              <c:numCache>
                <c:formatCode>General</c:formatCode>
                <c:ptCount val="4"/>
                <c:pt idx="0">
                  <c:v>7.62</c:v>
                </c:pt>
                <c:pt idx="1">
                  <c:v>7.7</c:v>
                </c:pt>
                <c:pt idx="2">
                  <c:v>7.8199999999999985</c:v>
                </c:pt>
                <c:pt idx="3">
                  <c:v>7.5400000000000009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6-4020-BF22-F18E367E8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971279"/>
        <c:axId val="1972975119"/>
      </c:barChart>
      <c:catAx>
        <c:axId val="197297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75119"/>
        <c:crosses val="autoZero"/>
        <c:auto val="1"/>
        <c:lblAlgn val="ctr"/>
        <c:lblOffset val="100"/>
        <c:noMultiLvlLbl val="0"/>
      </c:catAx>
      <c:valAx>
        <c:axId val="19729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7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019028871391088E-2"/>
          <c:y val="0.18409530294300797"/>
          <c:w val="0.87664304461942255"/>
          <c:h val="0.58303239811209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&amp; Visual'!$B$3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'Chart &amp; Visual'!$A$4:$A$8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Visual'!$B$4:$B$8</c:f>
              <c:numCache>
                <c:formatCode>General</c:formatCode>
                <c:ptCount val="4"/>
                <c:pt idx="0">
                  <c:v>33</c:v>
                </c:pt>
                <c:pt idx="1">
                  <c:v>54</c:v>
                </c:pt>
                <c:pt idx="2">
                  <c:v>63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0-4600-8A30-FA31C12F6C04}"/>
            </c:ext>
          </c:extLst>
        </c:ser>
        <c:ser>
          <c:idx val="1"/>
          <c:order val="1"/>
          <c:tx>
            <c:strRef>
              <c:f>'Chart &amp; Visual'!$C$3</c:f>
              <c:strCache>
                <c:ptCount val="1"/>
                <c:pt idx="0">
                  <c:v>Sum of Assists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'Chart &amp; Visual'!$A$4:$A$8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Visual'!$C$4:$C$8</c:f>
              <c:numCache>
                <c:formatCode>General</c:formatCode>
                <c:ptCount val="4"/>
                <c:pt idx="0">
                  <c:v>34</c:v>
                </c:pt>
                <c:pt idx="1">
                  <c:v>45</c:v>
                </c:pt>
                <c:pt idx="2">
                  <c:v>46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0-4600-8A30-FA31C12F6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341455"/>
        <c:axId val="73342415"/>
      </c:barChart>
      <c:catAx>
        <c:axId val="7334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2415"/>
        <c:crosses val="autoZero"/>
        <c:auto val="1"/>
        <c:lblAlgn val="ctr"/>
        <c:lblOffset val="100"/>
        <c:noMultiLvlLbl val="0"/>
      </c:catAx>
      <c:valAx>
        <c:axId val="7334241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sz="1000" b="1"/>
                  <a:t>Total</a:t>
                </a:r>
              </a:p>
            </c:rich>
          </c:tx>
          <c:layout>
            <c:manualLayout>
              <c:xMode val="edge"/>
              <c:yMode val="edge"/>
              <c:x val="1.2499905684274067E-2"/>
              <c:y val="8.804496477414006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4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532874015748032"/>
          <c:y val="0.8411580178983652"/>
          <c:w val="0.61508792650918642"/>
          <c:h val="9.14454669069980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Visual!PivotTable3</c:name>
    <c:fmtId val="6"/>
  </c:pivotSource>
  <c:chart>
    <c:autoTitleDeleted val="1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7019291338582679"/>
          <c:y val="9.5635453663534459E-2"/>
          <c:w val="0.62535804899387581"/>
          <c:h val="0.772457035732797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&amp; Visual'!$B$24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'Chart &amp; Visual'!$A$25:$A$29</c:f>
              <c:strCache>
                <c:ptCount val="4"/>
                <c:pt idx="0">
                  <c:v>Eastside FC</c:v>
                </c:pt>
                <c:pt idx="1">
                  <c:v>FC Northgate</c:v>
                </c:pt>
                <c:pt idx="2">
                  <c:v>Riverside City</c:v>
                </c:pt>
                <c:pt idx="3">
                  <c:v>Valley United</c:v>
                </c:pt>
              </c:strCache>
            </c:strRef>
          </c:cat>
          <c:val>
            <c:numRef>
              <c:f>'Chart &amp; Visual'!$B$25:$B$29</c:f>
              <c:numCache>
                <c:formatCode>General</c:formatCode>
                <c:ptCount val="4"/>
                <c:pt idx="0">
                  <c:v>7.62</c:v>
                </c:pt>
                <c:pt idx="1">
                  <c:v>7.7</c:v>
                </c:pt>
                <c:pt idx="2">
                  <c:v>7.8199999999999985</c:v>
                </c:pt>
                <c:pt idx="3">
                  <c:v>7.5400000000000009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2-4524-8511-7860D93F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2971279"/>
        <c:axId val="1972975119"/>
      </c:barChart>
      <c:catAx>
        <c:axId val="197297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75119"/>
        <c:crosses val="autoZero"/>
        <c:auto val="1"/>
        <c:lblAlgn val="ctr"/>
        <c:lblOffset val="100"/>
        <c:noMultiLvlLbl val="0"/>
      </c:catAx>
      <c:valAx>
        <c:axId val="19729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7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[Football_Raw_Data.xlsx]Chart &amp; Visual!PivotTable2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19342373869932925"/>
          <c:w val="0.82527515310586175"/>
          <c:h val="0.547419801691455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&amp; Visual'!$B$11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'Chart &amp; Visual'!$A$12:$A$15</c:f>
              <c:strCache>
                <c:ptCount val="3"/>
                <c:pt idx="0">
                  <c:v>DF</c:v>
                </c:pt>
                <c:pt idx="1">
                  <c:v>FW</c:v>
                </c:pt>
                <c:pt idx="2">
                  <c:v>MF</c:v>
                </c:pt>
              </c:strCache>
            </c:strRef>
          </c:cat>
          <c:val>
            <c:numRef>
              <c:f>'Chart &amp; Visual'!$B$12:$B$15</c:f>
              <c:numCache>
                <c:formatCode>General</c:formatCode>
                <c:ptCount val="3"/>
                <c:pt idx="0">
                  <c:v>9</c:v>
                </c:pt>
                <c:pt idx="1">
                  <c:v>123</c:v>
                </c:pt>
                <c:pt idx="2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55E-A593-1EAB34565F75}"/>
            </c:ext>
          </c:extLst>
        </c:ser>
        <c:ser>
          <c:idx val="1"/>
          <c:order val="1"/>
          <c:tx>
            <c:strRef>
              <c:f>'Chart &amp; Visual'!$C$11</c:f>
              <c:strCache>
                <c:ptCount val="1"/>
                <c:pt idx="0">
                  <c:v>Sum of Assists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'Chart &amp; Visual'!$A$12:$A$15</c:f>
              <c:strCache>
                <c:ptCount val="3"/>
                <c:pt idx="0">
                  <c:v>DF</c:v>
                </c:pt>
                <c:pt idx="1">
                  <c:v>FW</c:v>
                </c:pt>
                <c:pt idx="2">
                  <c:v>MF</c:v>
                </c:pt>
              </c:strCache>
            </c:strRef>
          </c:cat>
          <c:val>
            <c:numRef>
              <c:f>'Chart &amp; Visual'!$C$12:$C$15</c:f>
              <c:numCache>
                <c:formatCode>General</c:formatCode>
                <c:ptCount val="3"/>
                <c:pt idx="0">
                  <c:v>23</c:v>
                </c:pt>
                <c:pt idx="1">
                  <c:v>60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34-455E-A593-1EAB34565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87535"/>
        <c:axId val="151282735"/>
      </c:barChart>
      <c:catAx>
        <c:axId val="1512875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2735"/>
        <c:crosses val="autoZero"/>
        <c:auto val="1"/>
        <c:lblAlgn val="ctr"/>
        <c:lblOffset val="100"/>
        <c:noMultiLvlLbl val="0"/>
      </c:catAx>
      <c:valAx>
        <c:axId val="15128273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Total</a:t>
                </a:r>
              </a:p>
            </c:rich>
          </c:tx>
          <c:layout>
            <c:manualLayout>
              <c:xMode val="edge"/>
              <c:yMode val="edge"/>
              <c:x val="8.1967213114754103E-3"/>
              <c:y val="9.334987467402587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07830271216095"/>
          <c:y val="0.83268554972295128"/>
          <c:w val="0.77047725284339452"/>
          <c:h val="0.1494433508311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GOALS vs SHOTS</a:t>
            </a:r>
          </a:p>
        </c:rich>
      </c:tx>
      <c:layout>
        <c:manualLayout>
          <c:xMode val="edge"/>
          <c:yMode val="edge"/>
          <c:x val="0.44560411198600181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539305111613529E-2"/>
          <c:y val="0.21800925925925929"/>
          <c:w val="0.84187451672275415"/>
          <c:h val="0.57641987459900845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'Raw Player Data'!$F$2:$F$21</c:f>
              <c:numCache>
                <c:formatCode>General</c:formatCode>
                <c:ptCount val="20"/>
                <c:pt idx="0">
                  <c:v>22</c:v>
                </c:pt>
                <c:pt idx="1">
                  <c:v>19</c:v>
                </c:pt>
                <c:pt idx="2">
                  <c:v>11</c:v>
                </c:pt>
                <c:pt idx="3">
                  <c:v>8</c:v>
                </c:pt>
                <c:pt idx="4">
                  <c:v>3</c:v>
                </c:pt>
                <c:pt idx="5">
                  <c:v>13</c:v>
                </c:pt>
                <c:pt idx="6">
                  <c:v>17</c:v>
                </c:pt>
                <c:pt idx="7">
                  <c:v>1</c:v>
                </c:pt>
                <c:pt idx="8">
                  <c:v>15</c:v>
                </c:pt>
                <c:pt idx="9">
                  <c:v>9</c:v>
                </c:pt>
                <c:pt idx="10">
                  <c:v>2</c:v>
                </c:pt>
                <c:pt idx="11">
                  <c:v>10</c:v>
                </c:pt>
                <c:pt idx="12">
                  <c:v>0</c:v>
                </c:pt>
                <c:pt idx="13">
                  <c:v>18</c:v>
                </c:pt>
                <c:pt idx="14">
                  <c:v>7</c:v>
                </c:pt>
                <c:pt idx="15">
                  <c:v>1</c:v>
                </c:pt>
                <c:pt idx="16">
                  <c:v>6</c:v>
                </c:pt>
                <c:pt idx="17">
                  <c:v>20</c:v>
                </c:pt>
                <c:pt idx="18">
                  <c:v>2</c:v>
                </c:pt>
                <c:pt idx="19">
                  <c:v>12</c:v>
                </c:pt>
              </c:numCache>
            </c:numRef>
          </c:xVal>
          <c:yVal>
            <c:numRef>
              <c:f>'Raw Player Data'!$H$2:$H$21</c:f>
              <c:numCache>
                <c:formatCode>General</c:formatCode>
                <c:ptCount val="20"/>
                <c:pt idx="0">
                  <c:v>87</c:v>
                </c:pt>
                <c:pt idx="1">
                  <c:v>74</c:v>
                </c:pt>
                <c:pt idx="2">
                  <c:v>45</c:v>
                </c:pt>
                <c:pt idx="3">
                  <c:v>38</c:v>
                </c:pt>
                <c:pt idx="4">
                  <c:v>14</c:v>
                </c:pt>
                <c:pt idx="5">
                  <c:v>52</c:v>
                </c:pt>
                <c:pt idx="6">
                  <c:v>69</c:v>
                </c:pt>
                <c:pt idx="7">
                  <c:v>9</c:v>
                </c:pt>
                <c:pt idx="8">
                  <c:v>63</c:v>
                </c:pt>
                <c:pt idx="9">
                  <c:v>41</c:v>
                </c:pt>
                <c:pt idx="10">
                  <c:v>11</c:v>
                </c:pt>
                <c:pt idx="11">
                  <c:v>47</c:v>
                </c:pt>
                <c:pt idx="12">
                  <c:v>8</c:v>
                </c:pt>
                <c:pt idx="13">
                  <c:v>71</c:v>
                </c:pt>
                <c:pt idx="14">
                  <c:v>36</c:v>
                </c:pt>
                <c:pt idx="15">
                  <c:v>7</c:v>
                </c:pt>
                <c:pt idx="16">
                  <c:v>33</c:v>
                </c:pt>
                <c:pt idx="17">
                  <c:v>80</c:v>
                </c:pt>
                <c:pt idx="18">
                  <c:v>12</c:v>
                </c:pt>
                <c:pt idx="19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96-4937-B798-30A0D8753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130735"/>
        <c:axId val="1262130255"/>
      </c:scatterChart>
      <c:valAx>
        <c:axId val="1262130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 baseline="0"/>
                  <a:t>Goals Scored</a:t>
                </a:r>
                <a:endParaRPr lang="en-MY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255"/>
        <c:crosses val="autoZero"/>
        <c:crossBetween val="midCat"/>
      </c:valAx>
      <c:valAx>
        <c:axId val="1262130255"/>
        <c:scaling>
          <c:orientation val="minMax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 b="1"/>
                  <a:t>Total</a:t>
                </a:r>
                <a:r>
                  <a:rPr lang="en-MY" b="1" baseline="0"/>
                  <a:t> Shots</a:t>
                </a:r>
                <a:endParaRPr lang="en-MY" b="1"/>
              </a:p>
            </c:rich>
          </c:tx>
          <c:layout>
            <c:manualLayout>
              <c:xMode val="edge"/>
              <c:yMode val="edge"/>
              <c:x val="3.0555555555555555E-2"/>
              <c:y val="8.406641878098569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M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130735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8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252412</xdr:colOff>
      <xdr:row>21</xdr:row>
      <xdr:rowOff>104775</xdr:rowOff>
    </xdr:from>
    <xdr:to>
      <xdr:col>15</xdr:col>
      <xdr:colOff>52387</xdr:colOff>
      <xdr:row>35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079A3-4E56-6145-F912-D2DFD0DC55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593237</xdr:colOff>
      <xdr:row>4</xdr:row>
      <xdr:rowOff>5618</xdr:rowOff>
    </xdr:from>
    <xdr:to>
      <xdr:col>14</xdr:col>
      <xdr:colOff>593237</xdr:colOff>
      <xdr:row>24</xdr:row>
      <xdr:rowOff>81818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B9DE45-2AD6-E335-5A9B-369BF36B3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604837</xdr:colOff>
      <xdr:row>24</xdr:row>
      <xdr:rowOff>180975</xdr:rowOff>
    </xdr:from>
    <xdr:to>
      <xdr:col>12</xdr:col>
      <xdr:colOff>300037</xdr:colOff>
      <xdr:row>42</xdr:row>
      <xdr:rowOff>183173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831B4-E136-A789-84B5-A5DEDB07C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342899</xdr:colOff>
      <xdr:row>24</xdr:row>
      <xdr:rowOff>171450</xdr:rowOff>
    </xdr:from>
    <xdr:to>
      <xdr:col>22</xdr:col>
      <xdr:colOff>366345</xdr:colOff>
      <xdr:row>43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6ED303-F9DB-4928-B67A-642F53AAD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40298</xdr:colOff>
      <xdr:row>4</xdr:row>
      <xdr:rowOff>2197</xdr:rowOff>
    </xdr:from>
    <xdr:to>
      <xdr:col>22</xdr:col>
      <xdr:colOff>338259</xdr:colOff>
      <xdr:row>24</xdr:row>
      <xdr:rowOff>88003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70A2462-A4C0-6B9D-06E4-682D27A2C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466724</xdr:colOff>
      <xdr:row>0</xdr:row>
      <xdr:rowOff>0</xdr:rowOff>
    </xdr:from>
    <xdr:to>
      <xdr:col>4</xdr:col>
      <xdr:colOff>195262</xdr:colOff>
      <xdr:row>1</xdr:row>
      <xdr:rowOff>171450</xdr:rowOff>
    </xdr:to>
    <xdr:pic>
      <xdr:nvPicPr>
        <xdr:cNvPr id="3" name="Graphic 2" descr="Soccer ball outline">
          <a:extLst>
            <a:ext uri="{FF2B5EF4-FFF2-40B4-BE49-F238E27FC236}">
              <a16:creationId xmlns:a16="http://schemas.microsoft.com/office/drawing/2014/main" id="{A21C1370-1BD5-1ADB-4A74-51E5A25D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95524" y="0"/>
          <a:ext cx="361950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542925</xdr:colOff>
      <xdr:row>24</xdr:row>
      <xdr:rowOff>9525</xdr:rowOff>
    </xdr:from>
    <xdr:to>
      <xdr:col>4</xdr:col>
      <xdr:colOff>900112</xdr:colOff>
      <xdr:row>25</xdr:row>
      <xdr:rowOff>180975</xdr:rowOff>
    </xdr:to>
    <xdr:pic>
      <xdr:nvPicPr>
        <xdr:cNvPr id="5" name="Graphic 4" descr="Medal with solid fill">
          <a:extLst>
            <a:ext uri="{FF2B5EF4-FFF2-40B4-BE49-F238E27FC236}">
              <a16:creationId xmlns:a16="http://schemas.microsoft.com/office/drawing/2014/main" id="{C6869056-54F9-6BFA-68FF-8FCF1364F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81325" y="4581525"/>
          <a:ext cx="361950" cy="361950"/>
        </a:xfrm>
        <a:prstGeom prst="rect">
          <a:avLst/>
        </a:prstGeom>
      </xdr:spPr>
    </xdr:pic>
    <xdr:clientData/>
  </xdr:twoCellAnchor>
  <xdr:oneCellAnchor>
    <xdr:from>
      <xdr:col>4</xdr:col>
      <xdr:colOff>542925</xdr:colOff>
      <xdr:row>34</xdr:row>
      <xdr:rowOff>9525</xdr:rowOff>
    </xdr:from>
    <xdr:ext cx="361950" cy="361950"/>
    <xdr:pic>
      <xdr:nvPicPr>
        <xdr:cNvPr id="6" name="Graphic 5" descr="Medal with solid fill">
          <a:extLst>
            <a:ext uri="{FF2B5EF4-FFF2-40B4-BE49-F238E27FC236}">
              <a16:creationId xmlns:a16="http://schemas.microsoft.com/office/drawing/2014/main" id="{5D4C8CC4-198C-4D5F-85FB-0ECB4A623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981325" y="4581525"/>
          <a:ext cx="361950" cy="361950"/>
        </a:xfrm>
        <a:prstGeom prst="rect">
          <a:avLst/>
        </a:prstGeom>
      </xdr:spPr>
    </xdr:pic>
    <xdr:clientData/>
  </xdr:oneCellAnchor>
  <xdr:twoCellAnchor>
    <xdr:from>
      <xdr:col>0</xdr:col>
      <xdr:colOff>50131</xdr:colOff>
      <xdr:row>44</xdr:row>
      <xdr:rowOff>50132</xdr:rowOff>
    </xdr:from>
    <xdr:to>
      <xdr:col>7</xdr:col>
      <xdr:colOff>384343</xdr:colOff>
      <xdr:row>59</xdr:row>
      <xdr:rowOff>88232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ECF65A-6D63-44DE-9B10-5E6C33C0D9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501315</xdr:colOff>
      <xdr:row>44</xdr:row>
      <xdr:rowOff>50131</xdr:rowOff>
    </xdr:from>
    <xdr:to>
      <xdr:col>13</xdr:col>
      <xdr:colOff>534736</xdr:colOff>
      <xdr:row>59</xdr:row>
      <xdr:rowOff>97756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4689957-3FCD-403E-A330-54D2487F6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42946</xdr:colOff>
      <xdr:row>59</xdr:row>
      <xdr:rowOff>159752</xdr:rowOff>
    </xdr:from>
    <xdr:to>
      <xdr:col>7</xdr:col>
      <xdr:colOff>417764</xdr:colOff>
      <xdr:row>75</xdr:row>
      <xdr:rowOff>80712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D5AE86-0484-4672-A5A5-03827BF83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497474</xdr:colOff>
      <xdr:row>59</xdr:row>
      <xdr:rowOff>174124</xdr:rowOff>
    </xdr:from>
    <xdr:to>
      <xdr:col>13</xdr:col>
      <xdr:colOff>518026</xdr:colOff>
      <xdr:row>75</xdr:row>
      <xdr:rowOff>104609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B15DE1B-1C8B-4E42-91A7-2AA27C2F0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ZAM" refreshedDate="46085.47650138889" createdVersion="8" refreshedVersion="8" minRefreshableVersion="3" recordCount="20" xr:uid="{0E73F7AA-49C0-41DF-8A47-C0C22D8F2336}">
  <cacheSource type="worksheet">
    <worksheetSource name="Table1"/>
  </cacheSource>
  <cacheFields count="20">
    <cacheField name="Player Name" numFmtId="0">
      <sharedItems/>
    </cacheField>
    <cacheField name="Team" numFmtId="0">
      <sharedItems count="4">
        <s v="FC Northgate"/>
        <s v="Riverside City"/>
        <s v="Valley United"/>
        <s v="Eastside FC"/>
      </sharedItems>
    </cacheField>
    <cacheField name="Position" numFmtId="0">
      <sharedItems count="3">
        <s v="FW"/>
        <s v="MF"/>
        <s v="DF"/>
      </sharedItems>
    </cacheField>
    <cacheField name="Age" numFmtId="0">
      <sharedItems containsSemiMixedTypes="0" containsString="0" containsNumber="1" containsInteger="1" minValue="21" maxValue="32"/>
    </cacheField>
    <cacheField name="Appearances" numFmtId="0">
      <sharedItems containsSemiMixedTypes="0" containsString="0" containsNumber="1" containsInteger="1" minValue="25" maxValue="36"/>
    </cacheField>
    <cacheField name="Goals" numFmtId="0">
      <sharedItems containsSemiMixedTypes="0" containsString="0" containsNumber="1" containsInteger="1" minValue="0" maxValue="22"/>
    </cacheField>
    <cacheField name="Assists" numFmtId="0">
      <sharedItems containsSemiMixedTypes="0" containsString="0" containsNumber="1" containsInteger="1" minValue="2" maxValue="15"/>
    </cacheField>
    <cacheField name="Shots" numFmtId="0">
      <sharedItems containsSemiMixedTypes="0" containsString="0" containsNumber="1" containsInteger="1" minValue="7" maxValue="87"/>
    </cacheField>
    <cacheField name="Shots on Target" numFmtId="0">
      <sharedItems containsSemiMixedTypes="0" containsString="0" containsNumber="1" containsInteger="1" minValue="3" maxValue="51"/>
    </cacheField>
    <cacheField name="Passes" numFmtId="0">
      <sharedItems containsSemiMixedTypes="0" containsString="0" containsNumber="1" containsInteger="1" minValue="780" maxValue="2340"/>
    </cacheField>
    <cacheField name="Pass Accuracy (%)" numFmtId="0">
      <sharedItems containsSemiMixedTypes="0" containsString="0" containsNumber="1" containsInteger="1" minValue="74" maxValue="88"/>
    </cacheField>
    <cacheField name="Tackles" numFmtId="0">
      <sharedItems containsSemiMixedTypes="0" containsString="0" containsNumber="1" containsInteger="1" minValue="14" maxValue="88"/>
    </cacheField>
    <cacheField name="Interceptions" numFmtId="0">
      <sharedItems containsSemiMixedTypes="0" containsString="0" containsNumber="1" containsInteger="1" minValue="5" maxValue="42"/>
    </cacheField>
    <cacheField name="Yellow Cards" numFmtId="0">
      <sharedItems containsSemiMixedTypes="0" containsString="0" containsNumber="1" containsInteger="1" minValue="2" maxValue="9"/>
    </cacheField>
    <cacheField name="Red Cards" numFmtId="0">
      <sharedItems containsSemiMixedTypes="0" containsString="0" containsNumber="1" containsInteger="1" minValue="0" maxValue="1"/>
    </cacheField>
    <cacheField name="Minutes Played" numFmtId="0">
      <sharedItems containsSemiMixedTypes="0" containsString="0" containsNumber="1" containsInteger="1" minValue="2100" maxValue="3240"/>
    </cacheField>
    <cacheField name="Avg Match Rating" numFmtId="0">
      <sharedItems containsSemiMixedTypes="0" containsString="0" containsNumber="1" minValue="7.2" maxValue="8.1999999999999993"/>
    </cacheField>
    <cacheField name="Shot Conversion Rate %" numFmtId="0">
      <sharedItems containsSemiMixedTypes="0" containsString="0" containsNumber="1" minValue="0" maxValue="25.7"/>
    </cacheField>
    <cacheField name="Goal Contribution" numFmtId="0">
      <sharedItems containsSemiMixedTypes="0" containsString="0" containsNumber="1" containsInteger="1" minValue="2" maxValue="31"/>
    </cacheField>
    <cacheField name="Minutes per goal" numFmtId="0">
      <sharedItems containsMixedTypes="1" containsNumber="1" containsInteger="1" minValue="127" maxValue="3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Liam Walker"/>
    <x v="0"/>
    <x v="0"/>
    <n v="24"/>
    <n v="32"/>
    <n v="22"/>
    <n v="9"/>
    <n v="87"/>
    <n v="51"/>
    <n v="1102"/>
    <n v="81"/>
    <n v="18"/>
    <n v="7"/>
    <n v="4"/>
    <n v="0"/>
    <n v="2790"/>
    <n v="8.1"/>
    <n v="25.3"/>
    <n v="31"/>
    <n v="127"/>
  </r>
  <r>
    <s v="Carlos Mendez"/>
    <x v="1"/>
    <x v="0"/>
    <n v="27"/>
    <n v="30"/>
    <n v="19"/>
    <n v="12"/>
    <n v="74"/>
    <n v="43"/>
    <n v="980"/>
    <n v="79"/>
    <n v="22"/>
    <n v="9"/>
    <n v="5"/>
    <n v="1"/>
    <n v="2650"/>
    <n v="7.9"/>
    <n v="25.7"/>
    <n v="31"/>
    <n v="139"/>
  </r>
  <r>
    <s v="James Harlow"/>
    <x v="0"/>
    <x v="1"/>
    <n v="26"/>
    <n v="34"/>
    <n v="11"/>
    <n v="14"/>
    <n v="45"/>
    <n v="22"/>
    <n v="2340"/>
    <n v="88"/>
    <n v="55"/>
    <n v="21"/>
    <n v="6"/>
    <n v="0"/>
    <n v="3060"/>
    <n v="8"/>
    <n v="24.4"/>
    <n v="25"/>
    <n v="278"/>
  </r>
  <r>
    <s v="Tomás Reyes"/>
    <x v="2"/>
    <x v="1"/>
    <n v="29"/>
    <n v="31"/>
    <n v="8"/>
    <n v="10"/>
    <n v="38"/>
    <n v="19"/>
    <n v="2110"/>
    <n v="85"/>
    <n v="60"/>
    <n v="18"/>
    <n v="3"/>
    <n v="0"/>
    <n v="2790"/>
    <n v="7.6"/>
    <n v="21.1"/>
    <n v="18"/>
    <n v="349"/>
  </r>
  <r>
    <s v="Noah Fischer"/>
    <x v="3"/>
    <x v="2"/>
    <n v="28"/>
    <n v="35"/>
    <n v="3"/>
    <n v="5"/>
    <n v="14"/>
    <n v="7"/>
    <n v="1890"/>
    <n v="87"/>
    <n v="78"/>
    <n v="35"/>
    <n v="7"/>
    <n v="1"/>
    <n v="3150"/>
    <n v="7.4"/>
    <n v="21.4"/>
    <n v="8"/>
    <n v="1050"/>
  </r>
  <r>
    <s v="Kai Yamamoto"/>
    <x v="1"/>
    <x v="1"/>
    <n v="23"/>
    <n v="29"/>
    <n v="13"/>
    <n v="8"/>
    <n v="52"/>
    <n v="28"/>
    <n v="2050"/>
    <n v="83"/>
    <n v="48"/>
    <n v="16"/>
    <n v="5"/>
    <n v="0"/>
    <n v="2570"/>
    <n v="7.8"/>
    <n v="25"/>
    <n v="21"/>
    <n v="198"/>
  </r>
  <r>
    <s v="Diego Fontana"/>
    <x v="2"/>
    <x v="0"/>
    <n v="25"/>
    <n v="33"/>
    <n v="17"/>
    <n v="6"/>
    <n v="69"/>
    <n v="38"/>
    <n v="890"/>
    <n v="75"/>
    <n v="15"/>
    <n v="5"/>
    <n v="8"/>
    <n v="0"/>
    <n v="2880"/>
    <n v="7.7"/>
    <n v="24.6"/>
    <n v="23"/>
    <n v="169"/>
  </r>
  <r>
    <s v="Alex Prentice"/>
    <x v="3"/>
    <x v="2"/>
    <n v="31"/>
    <n v="36"/>
    <n v="1"/>
    <n v="3"/>
    <n v="9"/>
    <n v="4"/>
    <n v="1740"/>
    <n v="84"/>
    <n v="85"/>
    <n v="40"/>
    <n v="4"/>
    <n v="0"/>
    <n v="3240"/>
    <n v="7.5"/>
    <n v="11.1"/>
    <n v="4"/>
    <n v="3240"/>
  </r>
  <r>
    <s v="Mateus Oliveira"/>
    <x v="0"/>
    <x v="0"/>
    <n v="22"/>
    <n v="28"/>
    <n v="15"/>
    <n v="11"/>
    <n v="63"/>
    <n v="34"/>
    <n v="970"/>
    <n v="78"/>
    <n v="20"/>
    <n v="8"/>
    <n v="3"/>
    <n v="0"/>
    <n v="2460"/>
    <n v="7.9"/>
    <n v="23.8"/>
    <n v="26"/>
    <n v="164"/>
  </r>
  <r>
    <s v="Sam Colton"/>
    <x v="3"/>
    <x v="1"/>
    <n v="27"/>
    <n v="32"/>
    <n v="9"/>
    <n v="13"/>
    <n v="41"/>
    <n v="20"/>
    <n v="2200"/>
    <n v="86"/>
    <n v="52"/>
    <n v="19"/>
    <n v="6"/>
    <n v="0"/>
    <n v="2880"/>
    <n v="7.7"/>
    <n v="22"/>
    <n v="22"/>
    <n v="320"/>
  </r>
  <r>
    <s v="Ivan Petrov"/>
    <x v="2"/>
    <x v="2"/>
    <n v="30"/>
    <n v="34"/>
    <n v="2"/>
    <n v="4"/>
    <n v="11"/>
    <n v="5"/>
    <n v="1650"/>
    <n v="82"/>
    <n v="82"/>
    <n v="38"/>
    <n v="5"/>
    <n v="1"/>
    <n v="3060"/>
    <n v="7.3"/>
    <n v="18.2"/>
    <n v="6"/>
    <n v="1530"/>
  </r>
  <r>
    <s v="Henri Leclair"/>
    <x v="1"/>
    <x v="1"/>
    <n v="26"/>
    <n v="30"/>
    <n v="10"/>
    <n v="15"/>
    <n v="47"/>
    <n v="24"/>
    <n v="2180"/>
    <n v="87"/>
    <n v="50"/>
    <n v="17"/>
    <n v="4"/>
    <n v="0"/>
    <n v="2670"/>
    <n v="7.8"/>
    <n v="21.3"/>
    <n v="25"/>
    <n v="267"/>
  </r>
  <r>
    <s v="Owen Brady"/>
    <x v="0"/>
    <x v="2"/>
    <n v="29"/>
    <n v="33"/>
    <n v="0"/>
    <n v="2"/>
    <n v="8"/>
    <n v="3"/>
    <n v="1580"/>
    <n v="83"/>
    <n v="80"/>
    <n v="36"/>
    <n v="6"/>
    <n v="0"/>
    <n v="2970"/>
    <n v="7.2"/>
    <n v="0"/>
    <n v="2"/>
    <s v="N/A"/>
  </r>
  <r>
    <s v="Yusuf Abiodun"/>
    <x v="3"/>
    <x v="0"/>
    <n v="24"/>
    <n v="31"/>
    <n v="18"/>
    <n v="7"/>
    <n v="71"/>
    <n v="40"/>
    <n v="860"/>
    <n v="76"/>
    <n v="17"/>
    <n v="6"/>
    <n v="7"/>
    <n v="0"/>
    <n v="2730"/>
    <n v="8"/>
    <n v="25.4"/>
    <n v="25"/>
    <n v="152"/>
  </r>
  <r>
    <s v="Finn Larsson"/>
    <x v="2"/>
    <x v="1"/>
    <n v="25"/>
    <n v="30"/>
    <n v="7"/>
    <n v="11"/>
    <n v="36"/>
    <n v="17"/>
    <n v="2090"/>
    <n v="84"/>
    <n v="53"/>
    <n v="20"/>
    <n v="3"/>
    <n v="0"/>
    <n v="2700"/>
    <n v="7.5"/>
    <n v="19.399999999999999"/>
    <n v="18"/>
    <n v="386"/>
  </r>
  <r>
    <s v="Marco Bianchi"/>
    <x v="1"/>
    <x v="2"/>
    <n v="32"/>
    <n v="35"/>
    <n v="1"/>
    <n v="3"/>
    <n v="7"/>
    <n v="3"/>
    <n v="1720"/>
    <n v="85"/>
    <n v="88"/>
    <n v="42"/>
    <n v="5"/>
    <n v="0"/>
    <n v="3150"/>
    <n v="7.4"/>
    <n v="14.3"/>
    <n v="4"/>
    <n v="3150"/>
  </r>
  <r>
    <s v="Tyler Nash"/>
    <x v="0"/>
    <x v="1"/>
    <n v="23"/>
    <n v="27"/>
    <n v="6"/>
    <n v="9"/>
    <n v="33"/>
    <n v="15"/>
    <n v="1980"/>
    <n v="82"/>
    <n v="45"/>
    <n v="14"/>
    <n v="2"/>
    <n v="0"/>
    <n v="2340"/>
    <n v="7.3"/>
    <n v="18.2"/>
    <n v="15"/>
    <n v="390"/>
  </r>
  <r>
    <s v="Rafael Torres"/>
    <x v="1"/>
    <x v="0"/>
    <n v="28"/>
    <n v="32"/>
    <n v="20"/>
    <n v="8"/>
    <n v="80"/>
    <n v="47"/>
    <n v="920"/>
    <n v="77"/>
    <n v="19"/>
    <n v="8"/>
    <n v="9"/>
    <n v="1"/>
    <n v="2820"/>
    <n v="8.1999999999999993"/>
    <n v="25"/>
    <n v="28"/>
    <n v="141"/>
  </r>
  <r>
    <s v="Lucas Brennan"/>
    <x v="3"/>
    <x v="2"/>
    <n v="26"/>
    <n v="34"/>
    <n v="2"/>
    <n v="6"/>
    <n v="12"/>
    <n v="5"/>
    <n v="1800"/>
    <n v="86"/>
    <n v="83"/>
    <n v="37"/>
    <n v="4"/>
    <n v="0"/>
    <n v="3060"/>
    <n v="7.5"/>
    <n v="16.7"/>
    <n v="8"/>
    <n v="1530"/>
  </r>
  <r>
    <s v="Arjun Sharma"/>
    <x v="2"/>
    <x v="0"/>
    <n v="21"/>
    <n v="25"/>
    <n v="12"/>
    <n v="7"/>
    <n v="55"/>
    <n v="30"/>
    <n v="780"/>
    <n v="74"/>
    <n v="14"/>
    <n v="5"/>
    <n v="6"/>
    <n v="0"/>
    <n v="2100"/>
    <n v="7.6"/>
    <n v="21.8"/>
    <n v="19"/>
    <n v="1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76F367-655E-4B99-8ABA-A803E240FC0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0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oals" fld="5" baseField="0" baseItem="0"/>
    <dataField name="Sum of Assists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C146E-A05A-4E8C-A24C-3BC2E14EB88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4:B29" firstHeaderRow="1" firstDataRow="1" firstDataCol="1"/>
  <pivotFields count="20"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vg Match Rating" fld="16" subtotal="average" baseField="1" baseItem="0"/>
  </dataField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087C81-4FF9-47A5-BEAE-6089EAB6EC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:C15" firstHeaderRow="0" firstDataRow="1" firstDataCol="1"/>
  <pivotFields count="20"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oals" fld="5" baseField="0" baseItem="0"/>
    <dataField name="Sum of Assists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162396-D955-480C-A427-D2EBE950121E}" name="Table1" displayName="Table1" ref="A1:T21" totalsRowShown="0" headerRowDxfId="29" dataDxfId="27" headerRowBorderDxfId="28" tableBorderDxfId="26" totalsRowBorderDxfId="25">
  <autoFilter ref="A1:T21" xr:uid="{3A162396-D955-480C-A427-D2EBE950121E}"/>
  <tableColumns count="20">
    <tableColumn id="1" xr3:uid="{2803CBA8-E81F-44BA-9697-631279D0D499}" name="Player Name" dataDxfId="24"/>
    <tableColumn id="2" xr3:uid="{3B96B243-6060-4308-B432-8AFB413D0344}" name="Team" dataDxfId="23"/>
    <tableColumn id="3" xr3:uid="{B996F589-703D-477F-8662-ADEFD0F2F93B}" name="Position" dataDxfId="22"/>
    <tableColumn id="4" xr3:uid="{03979A4C-28F1-4561-8B2F-831839291548}" name="Age" dataDxfId="21"/>
    <tableColumn id="5" xr3:uid="{0E22FB7F-DC4E-4D96-B68C-F2A0331C6E2A}" name="Appearances" dataDxfId="20"/>
    <tableColumn id="6" xr3:uid="{ECCD36BC-8BAC-4ACF-98F3-D7369CC5BB84}" name="Goals" dataDxfId="19"/>
    <tableColumn id="7" xr3:uid="{0392904B-8FD8-4D27-9B29-32EA1C76E550}" name="Assists" dataDxfId="18"/>
    <tableColumn id="8" xr3:uid="{D19DC8BE-D4AE-425F-9F4A-859E203C0245}" name="Shots" dataDxfId="17"/>
    <tableColumn id="9" xr3:uid="{34480A02-6EB8-494C-B962-5A691288E435}" name="Shots on Target" dataDxfId="16"/>
    <tableColumn id="10" xr3:uid="{44DDD83F-7DDC-4578-A5BA-30C077E03332}" name="Passes" dataDxfId="15"/>
    <tableColumn id="11" xr3:uid="{E22E1C21-115C-431B-8F95-7719A821BAE6}" name="Pass Accuracy (%)" dataDxfId="14"/>
    <tableColumn id="12" xr3:uid="{54649887-2C72-455A-8737-EAF40CA13FBB}" name="Tackles" dataDxfId="13"/>
    <tableColumn id="13" xr3:uid="{50C0E87E-4BBE-434B-8F2B-E0DC7BEC64EB}" name="Interceptions" dataDxfId="12"/>
    <tableColumn id="14" xr3:uid="{9AB7F11E-8442-4038-A864-134F885D9E54}" name="Yellow Cards" dataDxfId="11"/>
    <tableColumn id="15" xr3:uid="{21208EE7-6CC3-4C1C-B29D-93DF9216F271}" name="Red Cards" dataDxfId="10"/>
    <tableColumn id="16" xr3:uid="{1C69B95A-F3F8-4235-9CB7-FD4F0AFF2246}" name="Minutes Played" dataDxfId="9"/>
    <tableColumn id="17" xr3:uid="{AF0B6113-6A1C-470F-BFF2-12311729BD26}" name="Avg Match Rating" dataDxfId="8"/>
    <tableColumn id="18" xr3:uid="{A043B2EA-20D6-42BC-9B12-6D969064DB1D}" name="Shot Conversion Rate %" dataDxfId="7">
      <calculatedColumnFormula>IF(H2=0,0, ROUND(F2/H2*100,1))</calculatedColumnFormula>
    </tableColumn>
    <tableColumn id="19" xr3:uid="{DF9AEEEC-321C-43D1-A707-D068ED9B0E3F}" name="Goal Contribution" dataDxfId="6">
      <calculatedColumnFormula>F2+G2</calculatedColumnFormula>
    </tableColumn>
    <tableColumn id="20" xr3:uid="{1907F558-8244-4757-BE4A-BC82F549B436}" name="Minutes per goal" dataDxfId="5">
      <calculatedColumnFormula>IF(F2=0, "N/A", ROUND(P2/F2, 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4B2AFF-8E00-40AB-BBA5-1C53C124156B}" name="Table2" displayName="Table2" ref="B7:G11" totalsRowShown="0">
  <autoFilter ref="B7:G11" xr:uid="{8B4B2AFF-8E00-40AB-BBA5-1C53C124156B}"/>
  <tableColumns count="6">
    <tableColumn id="1" xr3:uid="{D6CEBD26-0BAC-4E35-A5C4-F4DFAFE46A19}" name="Team"/>
    <tableColumn id="2" xr3:uid="{C813C979-1569-4C20-8308-3CA2CD474B8E}" name="Total Goals">
      <calculatedColumnFormula>SUMIF(Table1[Team],B8, Table1[Goals])</calculatedColumnFormula>
    </tableColumn>
    <tableColumn id="3" xr3:uid="{129D4830-6971-4764-8088-4831A652A072}" name="Total Assists" dataDxfId="4">
      <calculatedColumnFormula>SUMIF(Table1[Team],B8, Table1[Assists])</calculatedColumnFormula>
    </tableColumn>
    <tableColumn id="4" xr3:uid="{676B1B5C-58CA-4A6A-8DBF-514AFD7C4D22}" name="Avg Rating" dataDxfId="3">
      <calculatedColumnFormula>ROUND(AVERAGEIF(Table1[Team],B8, Table1[Avg Match Rating]), 2)</calculatedColumnFormula>
    </tableColumn>
    <tableColumn id="5" xr3:uid="{126F5C88-8689-43E2-9EAB-E1053112F9CC}" name="Avg Pass Accuracy (%)" dataDxfId="2">
      <calculatedColumnFormula>ROUND(AVERAGEIF(Table1[Team],B8, Table1[Pass Accuracy (%)]), 2)</calculatedColumnFormula>
    </tableColumn>
    <tableColumn id="6" xr3:uid="{E6E4DADA-A4F6-457E-A129-2E284E2469CB}" name="Total Tackles" dataDxfId="1">
      <calculatedColumnFormula>SUMIF(Table1[Team],B8,Table1[Tackles])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7E8A43-67D1-48F8-8DA7-9F57C5CE4960}" name="Table4" displayName="Table4" ref="B16:F19" totalsRowShown="0">
  <autoFilter ref="B16:F19" xr:uid="{977E8A43-67D1-48F8-8DA7-9F57C5CE4960}"/>
  <tableColumns count="5">
    <tableColumn id="1" xr3:uid="{820362F8-F5B5-4CBE-B708-E93D16F5630C}" name="Position"/>
    <tableColumn id="2" xr3:uid="{8E459917-28F5-47EF-A692-6BA00F5BA242}" name="Player Count"/>
    <tableColumn id="3" xr3:uid="{BB47C063-0501-4EDF-B3C8-08B3980D1119}" name="Avg Goal"/>
    <tableColumn id="4" xr3:uid="{BEC564B8-1A8D-4849-8FBF-1D3CB2EABA71}" name="Avg Assist"/>
    <tableColumn id="5" xr3:uid="{F5A7BF0E-6D0C-434E-8B27-CA123D61ACBC}" name="Avg Rat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F4B0AC-8854-4D86-AE93-405A660A510E}" name="Table5" displayName="Table5" ref="B24:E44" totalsRowShown="0">
  <autoFilter ref="B24:E44" xr:uid="{B6F4B0AC-8854-4D86-AE93-405A660A510E}"/>
  <sortState xmlns:xlrd2="http://schemas.microsoft.com/office/spreadsheetml/2017/richdata2" ref="B25:E44">
    <sortCondition descending="1" ref="D24:D44"/>
  </sortState>
  <tableColumns count="4">
    <tableColumn id="1" xr3:uid="{F40DA07E-6806-4E3F-A02F-BA2DACDEE6C5}" name="Player" dataDxfId="0"/>
    <tableColumn id="2" xr3:uid="{BE50E491-38E2-4AD1-AA21-826B605E66DA}" name="Team">
      <calculatedColumnFormula>VLOOKUP(B25,Table1[[#All],[Player Name]:[Team]],2,FALSE)</calculatedColumnFormula>
    </tableColumn>
    <tableColumn id="3" xr3:uid="{481B0B06-4EE6-4792-B5E5-FE656CEB9069}" name="Goal ">
      <calculatedColumnFormula>VLOOKUP(B25,Table1[[#All],[Player Name]:[Goals]],6,FALSE)</calculatedColumnFormula>
    </tableColumn>
    <tableColumn id="4" xr3:uid="{2B31DF35-1577-4397-B3D9-C74DCC963558}" name="Avg Rating">
      <calculatedColumnFormula>VLOOKUP(B25,Table1[[#All],[Player Name]:[Avg Match Rating]],17,FALSE)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21762D-57C0-4C0A-A574-D19B18AD57DD}" name="Table28" displayName="Table28" ref="E38:J42" totalsRowShown="0" headerRowDxfId="37" dataDxfId="36">
  <autoFilter ref="E38:J42" xr:uid="{4421762D-57C0-4C0A-A574-D19B18AD57DD}"/>
  <tableColumns count="6">
    <tableColumn id="1" xr3:uid="{87D802E0-637D-4BC5-AD9A-DD797824CA34}" name="Team" dataDxfId="35"/>
    <tableColumn id="2" xr3:uid="{A1F2D130-4019-4A2E-943B-9462872E0386}" name="Total Goals" dataDxfId="34">
      <calculatedColumnFormula>SUMIF(Table1[Team],E39, Table1[Goals])</calculatedColumnFormula>
    </tableColumn>
    <tableColumn id="3" xr3:uid="{7DDFA3E3-D823-4FE9-A894-A4CE01C8AD6C}" name="Total Assists" dataDxfId="33">
      <calculatedColumnFormula>SUMIF(Table1[Team],E39, Table1[Assists])</calculatedColumnFormula>
    </tableColumn>
    <tableColumn id="4" xr3:uid="{0EC713D7-01A1-4C28-91A0-D4DE943BE2F2}" name="Avg Rating" dataDxfId="32">
      <calculatedColumnFormula>ROUND(AVERAGEIF(Table1[Team],E39, Table1[Avg Match Rating]), 2)</calculatedColumnFormula>
    </tableColumn>
    <tableColumn id="5" xr3:uid="{42A1E907-6942-4D1E-8DD5-3A6426482363}" name="Avg Pass Accuracy (%)" dataDxfId="31">
      <calculatedColumnFormula>ROUND(AVERAGEIF(Table1[Team],E39, Table1[Pass Accuracy (%)]), 2)</calculatedColumnFormula>
    </tableColumn>
    <tableColumn id="6" xr3:uid="{02F181D7-5259-4821-AEA1-F47B11646711}" name="Total Tackles" dataDxfId="30">
      <calculatedColumnFormula>SUMIF(Table1[Team],E39,Table1[Tackles])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T21"/>
  <sheetViews>
    <sheetView topLeftCell="B1" zoomScaleNormal="100" workbookViewId="0">
      <pane ySplit="1" topLeftCell="A2" activePane="bottomLeft" state="frozen"/>
      <selection pane="bottomLeft" activeCell="Q19" sqref="Q19"/>
    </sheetView>
  </sheetViews>
  <sheetFormatPr defaultColWidth="8.7109375" defaultRowHeight="15" x14ac:dyDescent="0.25"/>
  <cols>
    <col min="1" max="1" width="18" customWidth="1"/>
    <col min="2" max="2" width="16" customWidth="1"/>
    <col min="3" max="3" width="10.42578125" customWidth="1"/>
    <col min="4" max="4" width="6.7109375" customWidth="1"/>
    <col min="5" max="5" width="15" customWidth="1"/>
    <col min="6" max="6" width="8.28515625" customWidth="1"/>
    <col min="7" max="7" width="9" customWidth="1"/>
    <col min="8" max="8" width="8.140625" customWidth="1"/>
    <col min="9" max="9" width="17.42578125" customWidth="1"/>
    <col min="10" max="10" width="9.28515625" customWidth="1"/>
    <col min="11" max="11" width="19.28515625" customWidth="1"/>
    <col min="12" max="12" width="10" customWidth="1"/>
    <col min="13" max="13" width="14.85546875" customWidth="1"/>
    <col min="14" max="14" width="15" customWidth="1"/>
    <col min="15" max="15" width="12.42578125" customWidth="1"/>
    <col min="16" max="16" width="17" customWidth="1"/>
    <col min="17" max="17" width="19" customWidth="1"/>
  </cols>
  <sheetData>
    <row r="1" spans="1:20" ht="36" customHeight="1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8" t="s">
        <v>44</v>
      </c>
      <c r="S1" s="8" t="s">
        <v>45</v>
      </c>
      <c r="T1" s="8" t="s">
        <v>46</v>
      </c>
    </row>
    <row r="2" spans="1:20" x14ac:dyDescent="0.25">
      <c r="A2" s="3" t="s">
        <v>17</v>
      </c>
      <c r="B2" s="1" t="s">
        <v>18</v>
      </c>
      <c r="C2" s="1" t="s">
        <v>19</v>
      </c>
      <c r="D2" s="1">
        <v>24</v>
      </c>
      <c r="E2" s="1">
        <v>32</v>
      </c>
      <c r="F2" s="1">
        <v>22</v>
      </c>
      <c r="G2" s="1">
        <v>9</v>
      </c>
      <c r="H2" s="1">
        <v>87</v>
      </c>
      <c r="I2" s="1">
        <v>51</v>
      </c>
      <c r="J2" s="1">
        <v>1102</v>
      </c>
      <c r="K2" s="1">
        <v>81</v>
      </c>
      <c r="L2" s="1">
        <v>18</v>
      </c>
      <c r="M2" s="1">
        <v>7</v>
      </c>
      <c r="N2" s="1">
        <v>4</v>
      </c>
      <c r="O2" s="1">
        <v>0</v>
      </c>
      <c r="P2" s="1">
        <v>2790</v>
      </c>
      <c r="Q2" s="5">
        <v>8.1</v>
      </c>
      <c r="R2" s="13">
        <f t="shared" ref="R2:R21" si="0">IF(H2=0,0, ROUND(F2/H2*100,1))</f>
        <v>25.3</v>
      </c>
      <c r="S2" s="13">
        <f t="shared" ref="S2:S21" si="1">F2+G2</f>
        <v>31</v>
      </c>
      <c r="T2" s="14">
        <f t="shared" ref="T2:T21" si="2">IF(F2=0, "N/A", ROUND(P2/F2, 0))</f>
        <v>127</v>
      </c>
    </row>
    <row r="3" spans="1:20" x14ac:dyDescent="0.25">
      <c r="A3" s="4" t="s">
        <v>20</v>
      </c>
      <c r="B3" s="2" t="s">
        <v>21</v>
      </c>
      <c r="C3" s="2" t="s">
        <v>19</v>
      </c>
      <c r="D3" s="2">
        <v>27</v>
      </c>
      <c r="E3" s="2">
        <v>30</v>
      </c>
      <c r="F3" s="2">
        <v>19</v>
      </c>
      <c r="G3" s="2">
        <v>12</v>
      </c>
      <c r="H3" s="2">
        <v>74</v>
      </c>
      <c r="I3" s="2">
        <v>43</v>
      </c>
      <c r="J3" s="2">
        <v>980</v>
      </c>
      <c r="K3" s="2">
        <v>79</v>
      </c>
      <c r="L3" s="2">
        <v>22</v>
      </c>
      <c r="M3" s="2">
        <v>9</v>
      </c>
      <c r="N3" s="2">
        <v>5</v>
      </c>
      <c r="O3" s="2">
        <v>1</v>
      </c>
      <c r="P3" s="2">
        <v>2650</v>
      </c>
      <c r="Q3" s="6">
        <v>7.9</v>
      </c>
      <c r="R3" s="2">
        <f t="shared" si="0"/>
        <v>25.7</v>
      </c>
      <c r="S3" s="2">
        <f t="shared" si="1"/>
        <v>31</v>
      </c>
      <c r="T3" s="14">
        <f t="shared" si="2"/>
        <v>139</v>
      </c>
    </row>
    <row r="4" spans="1:20" x14ac:dyDescent="0.25">
      <c r="A4" s="3" t="s">
        <v>22</v>
      </c>
      <c r="B4" s="1" t="s">
        <v>18</v>
      </c>
      <c r="C4" s="1" t="s">
        <v>23</v>
      </c>
      <c r="D4" s="1">
        <v>26</v>
      </c>
      <c r="E4" s="1">
        <v>34</v>
      </c>
      <c r="F4" s="1">
        <v>11</v>
      </c>
      <c r="G4" s="1">
        <v>14</v>
      </c>
      <c r="H4" s="1">
        <v>45</v>
      </c>
      <c r="I4" s="1">
        <v>22</v>
      </c>
      <c r="J4" s="1">
        <v>2340</v>
      </c>
      <c r="K4" s="1">
        <v>88</v>
      </c>
      <c r="L4" s="1">
        <v>55</v>
      </c>
      <c r="M4" s="1">
        <v>21</v>
      </c>
      <c r="N4" s="1">
        <v>6</v>
      </c>
      <c r="O4" s="1">
        <v>0</v>
      </c>
      <c r="P4" s="1">
        <v>3060</v>
      </c>
      <c r="Q4" s="5">
        <v>8</v>
      </c>
      <c r="R4" s="2">
        <f t="shared" si="0"/>
        <v>24.4</v>
      </c>
      <c r="S4" s="2">
        <f t="shared" si="1"/>
        <v>25</v>
      </c>
      <c r="T4" s="14">
        <f t="shared" si="2"/>
        <v>278</v>
      </c>
    </row>
    <row r="5" spans="1:20" x14ac:dyDescent="0.25">
      <c r="A5" s="4" t="s">
        <v>24</v>
      </c>
      <c r="B5" s="2" t="s">
        <v>25</v>
      </c>
      <c r="C5" s="2" t="s">
        <v>23</v>
      </c>
      <c r="D5" s="2">
        <v>29</v>
      </c>
      <c r="E5" s="2">
        <v>31</v>
      </c>
      <c r="F5" s="2">
        <v>8</v>
      </c>
      <c r="G5" s="2">
        <v>10</v>
      </c>
      <c r="H5" s="2">
        <v>38</v>
      </c>
      <c r="I5" s="2">
        <v>19</v>
      </c>
      <c r="J5" s="2">
        <v>2110</v>
      </c>
      <c r="K5" s="2">
        <v>85</v>
      </c>
      <c r="L5" s="2">
        <v>60</v>
      </c>
      <c r="M5" s="2">
        <v>18</v>
      </c>
      <c r="N5" s="2">
        <v>3</v>
      </c>
      <c r="O5" s="2">
        <v>0</v>
      </c>
      <c r="P5" s="2">
        <v>2790</v>
      </c>
      <c r="Q5" s="6">
        <v>7.6</v>
      </c>
      <c r="R5" s="2">
        <f t="shared" si="0"/>
        <v>21.1</v>
      </c>
      <c r="S5" s="2">
        <f t="shared" si="1"/>
        <v>18</v>
      </c>
      <c r="T5" s="14">
        <f t="shared" si="2"/>
        <v>349</v>
      </c>
    </row>
    <row r="6" spans="1:20" x14ac:dyDescent="0.25">
      <c r="A6" s="3" t="s">
        <v>26</v>
      </c>
      <c r="B6" s="1" t="s">
        <v>27</v>
      </c>
      <c r="C6" s="1" t="s">
        <v>28</v>
      </c>
      <c r="D6" s="1">
        <v>28</v>
      </c>
      <c r="E6" s="1">
        <v>35</v>
      </c>
      <c r="F6" s="1">
        <v>3</v>
      </c>
      <c r="G6" s="1">
        <v>5</v>
      </c>
      <c r="H6" s="1">
        <v>14</v>
      </c>
      <c r="I6" s="1">
        <v>7</v>
      </c>
      <c r="J6" s="1">
        <v>1890</v>
      </c>
      <c r="K6" s="1">
        <v>87</v>
      </c>
      <c r="L6" s="1">
        <v>78</v>
      </c>
      <c r="M6" s="1">
        <v>35</v>
      </c>
      <c r="N6" s="1">
        <v>7</v>
      </c>
      <c r="O6" s="1">
        <v>1</v>
      </c>
      <c r="P6" s="1">
        <v>3150</v>
      </c>
      <c r="Q6" s="5">
        <v>7.4</v>
      </c>
      <c r="R6" s="2">
        <f t="shared" si="0"/>
        <v>21.4</v>
      </c>
      <c r="S6" s="2">
        <f t="shared" si="1"/>
        <v>8</v>
      </c>
      <c r="T6" s="14">
        <f t="shared" si="2"/>
        <v>1050</v>
      </c>
    </row>
    <row r="7" spans="1:20" x14ac:dyDescent="0.25">
      <c r="A7" s="4" t="s">
        <v>29</v>
      </c>
      <c r="B7" s="2" t="s">
        <v>21</v>
      </c>
      <c r="C7" s="2" t="s">
        <v>23</v>
      </c>
      <c r="D7" s="2">
        <v>23</v>
      </c>
      <c r="E7" s="2">
        <v>29</v>
      </c>
      <c r="F7" s="2">
        <v>13</v>
      </c>
      <c r="G7" s="2">
        <v>8</v>
      </c>
      <c r="H7" s="2">
        <v>52</v>
      </c>
      <c r="I7" s="2">
        <v>28</v>
      </c>
      <c r="J7" s="2">
        <v>2050</v>
      </c>
      <c r="K7" s="2">
        <v>83</v>
      </c>
      <c r="L7" s="2">
        <v>48</v>
      </c>
      <c r="M7" s="2">
        <v>16</v>
      </c>
      <c r="N7" s="2">
        <v>5</v>
      </c>
      <c r="O7" s="2">
        <v>0</v>
      </c>
      <c r="P7" s="2">
        <v>2570</v>
      </c>
      <c r="Q7" s="6">
        <v>7.8</v>
      </c>
      <c r="R7" s="2">
        <f t="shared" si="0"/>
        <v>25</v>
      </c>
      <c r="S7" s="2">
        <f t="shared" si="1"/>
        <v>21</v>
      </c>
      <c r="T7" s="14">
        <f t="shared" si="2"/>
        <v>198</v>
      </c>
    </row>
    <row r="8" spans="1:20" x14ac:dyDescent="0.25">
      <c r="A8" s="3" t="s">
        <v>30</v>
      </c>
      <c r="B8" s="1" t="s">
        <v>25</v>
      </c>
      <c r="C8" s="1" t="s">
        <v>19</v>
      </c>
      <c r="D8" s="1">
        <v>25</v>
      </c>
      <c r="E8" s="1">
        <v>33</v>
      </c>
      <c r="F8" s="1">
        <v>17</v>
      </c>
      <c r="G8" s="1">
        <v>6</v>
      </c>
      <c r="H8" s="1">
        <v>69</v>
      </c>
      <c r="I8" s="1">
        <v>38</v>
      </c>
      <c r="J8" s="1">
        <v>890</v>
      </c>
      <c r="K8" s="1">
        <v>75</v>
      </c>
      <c r="L8" s="1">
        <v>15</v>
      </c>
      <c r="M8" s="1">
        <v>5</v>
      </c>
      <c r="N8" s="1">
        <v>8</v>
      </c>
      <c r="O8" s="1">
        <v>0</v>
      </c>
      <c r="P8" s="1">
        <v>2880</v>
      </c>
      <c r="Q8" s="5">
        <v>7.7</v>
      </c>
      <c r="R8" s="2">
        <f t="shared" si="0"/>
        <v>24.6</v>
      </c>
      <c r="S8" s="2">
        <f t="shared" si="1"/>
        <v>23</v>
      </c>
      <c r="T8" s="14">
        <f t="shared" si="2"/>
        <v>169</v>
      </c>
    </row>
    <row r="9" spans="1:20" x14ac:dyDescent="0.25">
      <c r="A9" s="4" t="s">
        <v>31</v>
      </c>
      <c r="B9" s="2" t="s">
        <v>27</v>
      </c>
      <c r="C9" s="2" t="s">
        <v>28</v>
      </c>
      <c r="D9" s="2">
        <v>31</v>
      </c>
      <c r="E9" s="2">
        <v>36</v>
      </c>
      <c r="F9" s="2">
        <v>1</v>
      </c>
      <c r="G9" s="2">
        <v>3</v>
      </c>
      <c r="H9" s="2">
        <v>9</v>
      </c>
      <c r="I9" s="2">
        <v>4</v>
      </c>
      <c r="J9" s="2">
        <v>1740</v>
      </c>
      <c r="K9" s="2">
        <v>84</v>
      </c>
      <c r="L9" s="2">
        <v>85</v>
      </c>
      <c r="M9" s="2">
        <v>40</v>
      </c>
      <c r="N9" s="2">
        <v>4</v>
      </c>
      <c r="O9" s="2">
        <v>0</v>
      </c>
      <c r="P9" s="2">
        <v>3240</v>
      </c>
      <c r="Q9" s="6">
        <v>7.5</v>
      </c>
      <c r="R9" s="2">
        <f t="shared" si="0"/>
        <v>11.1</v>
      </c>
      <c r="S9" s="2">
        <f t="shared" si="1"/>
        <v>4</v>
      </c>
      <c r="T9" s="14">
        <f t="shared" si="2"/>
        <v>3240</v>
      </c>
    </row>
    <row r="10" spans="1:20" x14ac:dyDescent="0.25">
      <c r="A10" s="3" t="s">
        <v>32</v>
      </c>
      <c r="B10" s="1" t="s">
        <v>18</v>
      </c>
      <c r="C10" s="1" t="s">
        <v>19</v>
      </c>
      <c r="D10" s="1">
        <v>22</v>
      </c>
      <c r="E10" s="1">
        <v>28</v>
      </c>
      <c r="F10" s="1">
        <v>15</v>
      </c>
      <c r="G10" s="1">
        <v>11</v>
      </c>
      <c r="H10" s="1">
        <v>63</v>
      </c>
      <c r="I10" s="1">
        <v>34</v>
      </c>
      <c r="J10" s="1">
        <v>970</v>
      </c>
      <c r="K10" s="1">
        <v>78</v>
      </c>
      <c r="L10" s="1">
        <v>20</v>
      </c>
      <c r="M10" s="1">
        <v>8</v>
      </c>
      <c r="N10" s="1">
        <v>3</v>
      </c>
      <c r="O10" s="1">
        <v>0</v>
      </c>
      <c r="P10" s="1">
        <v>2460</v>
      </c>
      <c r="Q10" s="5">
        <v>7.9</v>
      </c>
      <c r="R10" s="2">
        <f t="shared" si="0"/>
        <v>23.8</v>
      </c>
      <c r="S10" s="2">
        <f t="shared" si="1"/>
        <v>26</v>
      </c>
      <c r="T10" s="14">
        <f t="shared" si="2"/>
        <v>164</v>
      </c>
    </row>
    <row r="11" spans="1:20" x14ac:dyDescent="0.25">
      <c r="A11" s="4" t="s">
        <v>33</v>
      </c>
      <c r="B11" s="2" t="s">
        <v>27</v>
      </c>
      <c r="C11" s="2" t="s">
        <v>23</v>
      </c>
      <c r="D11" s="2">
        <v>27</v>
      </c>
      <c r="E11" s="2">
        <v>32</v>
      </c>
      <c r="F11" s="2">
        <v>9</v>
      </c>
      <c r="G11" s="2">
        <v>13</v>
      </c>
      <c r="H11" s="2">
        <v>41</v>
      </c>
      <c r="I11" s="2">
        <v>20</v>
      </c>
      <c r="J11" s="2">
        <v>2200</v>
      </c>
      <c r="K11" s="2">
        <v>86</v>
      </c>
      <c r="L11" s="2">
        <v>52</v>
      </c>
      <c r="M11" s="2">
        <v>19</v>
      </c>
      <c r="N11" s="2">
        <v>6</v>
      </c>
      <c r="O11" s="2">
        <v>0</v>
      </c>
      <c r="P11" s="2">
        <v>2880</v>
      </c>
      <c r="Q11" s="6">
        <v>7.7</v>
      </c>
      <c r="R11" s="2">
        <f t="shared" si="0"/>
        <v>22</v>
      </c>
      <c r="S11" s="2">
        <f t="shared" si="1"/>
        <v>22</v>
      </c>
      <c r="T11" s="14">
        <f t="shared" si="2"/>
        <v>320</v>
      </c>
    </row>
    <row r="12" spans="1:20" x14ac:dyDescent="0.25">
      <c r="A12" s="3" t="s">
        <v>34</v>
      </c>
      <c r="B12" s="1" t="s">
        <v>25</v>
      </c>
      <c r="C12" s="1" t="s">
        <v>28</v>
      </c>
      <c r="D12" s="1">
        <v>30</v>
      </c>
      <c r="E12" s="1">
        <v>34</v>
      </c>
      <c r="F12" s="1">
        <v>2</v>
      </c>
      <c r="G12" s="1">
        <v>4</v>
      </c>
      <c r="H12" s="1">
        <v>11</v>
      </c>
      <c r="I12" s="1">
        <v>5</v>
      </c>
      <c r="J12" s="1">
        <v>1650</v>
      </c>
      <c r="K12" s="1">
        <v>82</v>
      </c>
      <c r="L12" s="1">
        <v>82</v>
      </c>
      <c r="M12" s="1">
        <v>38</v>
      </c>
      <c r="N12" s="1">
        <v>5</v>
      </c>
      <c r="O12" s="1">
        <v>1</v>
      </c>
      <c r="P12" s="1">
        <v>3060</v>
      </c>
      <c r="Q12" s="5">
        <v>7.3</v>
      </c>
      <c r="R12" s="2">
        <f t="shared" si="0"/>
        <v>18.2</v>
      </c>
      <c r="S12" s="2">
        <f t="shared" si="1"/>
        <v>6</v>
      </c>
      <c r="T12" s="14">
        <f t="shared" si="2"/>
        <v>1530</v>
      </c>
    </row>
    <row r="13" spans="1:20" x14ac:dyDescent="0.25">
      <c r="A13" s="4" t="s">
        <v>35</v>
      </c>
      <c r="B13" s="2" t="s">
        <v>21</v>
      </c>
      <c r="C13" s="2" t="s">
        <v>23</v>
      </c>
      <c r="D13" s="2">
        <v>26</v>
      </c>
      <c r="E13" s="2">
        <v>30</v>
      </c>
      <c r="F13" s="2">
        <v>10</v>
      </c>
      <c r="G13" s="2">
        <v>15</v>
      </c>
      <c r="H13" s="2">
        <v>47</v>
      </c>
      <c r="I13" s="2">
        <v>24</v>
      </c>
      <c r="J13" s="2">
        <v>2180</v>
      </c>
      <c r="K13" s="2">
        <v>87</v>
      </c>
      <c r="L13" s="2">
        <v>50</v>
      </c>
      <c r="M13" s="2">
        <v>17</v>
      </c>
      <c r="N13" s="2">
        <v>4</v>
      </c>
      <c r="O13" s="2">
        <v>0</v>
      </c>
      <c r="P13" s="2">
        <v>2670</v>
      </c>
      <c r="Q13" s="6">
        <v>7.8</v>
      </c>
      <c r="R13" s="2">
        <f t="shared" si="0"/>
        <v>21.3</v>
      </c>
      <c r="S13" s="2">
        <f t="shared" si="1"/>
        <v>25</v>
      </c>
      <c r="T13" s="14">
        <f t="shared" si="2"/>
        <v>267</v>
      </c>
    </row>
    <row r="14" spans="1:20" x14ac:dyDescent="0.25">
      <c r="A14" s="3" t="s">
        <v>36</v>
      </c>
      <c r="B14" s="1" t="s">
        <v>18</v>
      </c>
      <c r="C14" s="1" t="s">
        <v>28</v>
      </c>
      <c r="D14" s="1">
        <v>29</v>
      </c>
      <c r="E14" s="1">
        <v>33</v>
      </c>
      <c r="F14" s="1">
        <v>0</v>
      </c>
      <c r="G14" s="1">
        <v>2</v>
      </c>
      <c r="H14" s="1">
        <v>8</v>
      </c>
      <c r="I14" s="1">
        <v>3</v>
      </c>
      <c r="J14" s="1">
        <v>1580</v>
      </c>
      <c r="K14" s="1">
        <v>83</v>
      </c>
      <c r="L14" s="1">
        <v>80</v>
      </c>
      <c r="M14" s="1">
        <v>36</v>
      </c>
      <c r="N14" s="1">
        <v>6</v>
      </c>
      <c r="O14" s="1">
        <v>0</v>
      </c>
      <c r="P14" s="1">
        <v>2970</v>
      </c>
      <c r="Q14" s="5">
        <v>7.2</v>
      </c>
      <c r="R14" s="2">
        <f t="shared" si="0"/>
        <v>0</v>
      </c>
      <c r="S14" s="2">
        <f t="shared" si="1"/>
        <v>2</v>
      </c>
      <c r="T14" s="14" t="str">
        <f t="shared" si="2"/>
        <v>N/A</v>
      </c>
    </row>
    <row r="15" spans="1:20" x14ac:dyDescent="0.25">
      <c r="A15" s="4" t="s">
        <v>37</v>
      </c>
      <c r="B15" s="2" t="s">
        <v>27</v>
      </c>
      <c r="C15" s="2" t="s">
        <v>19</v>
      </c>
      <c r="D15" s="2">
        <v>24</v>
      </c>
      <c r="E15" s="2">
        <v>31</v>
      </c>
      <c r="F15" s="2">
        <v>18</v>
      </c>
      <c r="G15" s="2">
        <v>7</v>
      </c>
      <c r="H15" s="2">
        <v>71</v>
      </c>
      <c r="I15" s="2">
        <v>40</v>
      </c>
      <c r="J15" s="2">
        <v>860</v>
      </c>
      <c r="K15" s="2">
        <v>76</v>
      </c>
      <c r="L15" s="2">
        <v>17</v>
      </c>
      <c r="M15" s="2">
        <v>6</v>
      </c>
      <c r="N15" s="2">
        <v>7</v>
      </c>
      <c r="O15" s="2">
        <v>0</v>
      </c>
      <c r="P15" s="2">
        <v>2730</v>
      </c>
      <c r="Q15" s="6">
        <v>8</v>
      </c>
      <c r="R15" s="2">
        <f t="shared" si="0"/>
        <v>25.4</v>
      </c>
      <c r="S15" s="2">
        <f t="shared" si="1"/>
        <v>25</v>
      </c>
      <c r="T15" s="14">
        <f t="shared" si="2"/>
        <v>152</v>
      </c>
    </row>
    <row r="16" spans="1:20" x14ac:dyDescent="0.25">
      <c r="A16" s="3" t="s">
        <v>38</v>
      </c>
      <c r="B16" s="1" t="s">
        <v>25</v>
      </c>
      <c r="C16" s="1" t="s">
        <v>23</v>
      </c>
      <c r="D16" s="1">
        <v>25</v>
      </c>
      <c r="E16" s="1">
        <v>30</v>
      </c>
      <c r="F16" s="1">
        <v>7</v>
      </c>
      <c r="G16" s="1">
        <v>11</v>
      </c>
      <c r="H16" s="1">
        <v>36</v>
      </c>
      <c r="I16" s="1">
        <v>17</v>
      </c>
      <c r="J16" s="1">
        <v>2090</v>
      </c>
      <c r="K16" s="1">
        <v>84</v>
      </c>
      <c r="L16" s="1">
        <v>53</v>
      </c>
      <c r="M16" s="1">
        <v>20</v>
      </c>
      <c r="N16" s="1">
        <v>3</v>
      </c>
      <c r="O16" s="1">
        <v>0</v>
      </c>
      <c r="P16" s="1">
        <v>2700</v>
      </c>
      <c r="Q16" s="5">
        <v>7.5</v>
      </c>
      <c r="R16" s="2">
        <f t="shared" si="0"/>
        <v>19.399999999999999</v>
      </c>
      <c r="S16" s="2">
        <f t="shared" si="1"/>
        <v>18</v>
      </c>
      <c r="T16" s="14">
        <f t="shared" si="2"/>
        <v>386</v>
      </c>
    </row>
    <row r="17" spans="1:20" x14ac:dyDescent="0.25">
      <c r="A17" s="4" t="s">
        <v>39</v>
      </c>
      <c r="B17" s="2" t="s">
        <v>21</v>
      </c>
      <c r="C17" s="2" t="s">
        <v>28</v>
      </c>
      <c r="D17" s="2">
        <v>32</v>
      </c>
      <c r="E17" s="2">
        <v>35</v>
      </c>
      <c r="F17" s="2">
        <v>1</v>
      </c>
      <c r="G17" s="2">
        <v>3</v>
      </c>
      <c r="H17" s="2">
        <v>7</v>
      </c>
      <c r="I17" s="2">
        <v>3</v>
      </c>
      <c r="J17" s="2">
        <v>1720</v>
      </c>
      <c r="K17" s="2">
        <v>85</v>
      </c>
      <c r="L17" s="2">
        <v>88</v>
      </c>
      <c r="M17" s="2">
        <v>42</v>
      </c>
      <c r="N17" s="2">
        <v>5</v>
      </c>
      <c r="O17" s="2">
        <v>0</v>
      </c>
      <c r="P17" s="2">
        <v>3150</v>
      </c>
      <c r="Q17" s="6">
        <v>7.4</v>
      </c>
      <c r="R17" s="2">
        <f t="shared" si="0"/>
        <v>14.3</v>
      </c>
      <c r="S17" s="2">
        <f t="shared" si="1"/>
        <v>4</v>
      </c>
      <c r="T17" s="14">
        <f t="shared" si="2"/>
        <v>3150</v>
      </c>
    </row>
    <row r="18" spans="1:20" x14ac:dyDescent="0.25">
      <c r="A18" s="3" t="s">
        <v>40</v>
      </c>
      <c r="B18" s="1" t="s">
        <v>18</v>
      </c>
      <c r="C18" s="1" t="s">
        <v>23</v>
      </c>
      <c r="D18" s="1">
        <v>23</v>
      </c>
      <c r="E18" s="1">
        <v>27</v>
      </c>
      <c r="F18" s="1">
        <v>6</v>
      </c>
      <c r="G18" s="1">
        <v>9</v>
      </c>
      <c r="H18" s="1">
        <v>33</v>
      </c>
      <c r="I18" s="1">
        <v>15</v>
      </c>
      <c r="J18" s="1">
        <v>1980</v>
      </c>
      <c r="K18" s="1">
        <v>82</v>
      </c>
      <c r="L18" s="1">
        <v>45</v>
      </c>
      <c r="M18" s="1">
        <v>14</v>
      </c>
      <c r="N18" s="1">
        <v>2</v>
      </c>
      <c r="O18" s="1">
        <v>0</v>
      </c>
      <c r="P18" s="1">
        <v>2340</v>
      </c>
      <c r="Q18" s="5">
        <v>7.3</v>
      </c>
      <c r="R18" s="2">
        <f t="shared" si="0"/>
        <v>18.2</v>
      </c>
      <c r="S18" s="2">
        <f t="shared" si="1"/>
        <v>15</v>
      </c>
      <c r="T18" s="14">
        <f t="shared" si="2"/>
        <v>390</v>
      </c>
    </row>
    <row r="19" spans="1:20" x14ac:dyDescent="0.25">
      <c r="A19" s="4" t="s">
        <v>41</v>
      </c>
      <c r="B19" s="2" t="s">
        <v>21</v>
      </c>
      <c r="C19" s="2" t="s">
        <v>19</v>
      </c>
      <c r="D19" s="2">
        <v>28</v>
      </c>
      <c r="E19" s="2">
        <v>32</v>
      </c>
      <c r="F19" s="2">
        <v>20</v>
      </c>
      <c r="G19" s="2">
        <v>8</v>
      </c>
      <c r="H19" s="2">
        <v>80</v>
      </c>
      <c r="I19" s="2">
        <v>47</v>
      </c>
      <c r="J19" s="2">
        <v>920</v>
      </c>
      <c r="K19" s="2">
        <v>77</v>
      </c>
      <c r="L19" s="2">
        <v>19</v>
      </c>
      <c r="M19" s="2">
        <v>8</v>
      </c>
      <c r="N19" s="2">
        <v>9</v>
      </c>
      <c r="O19" s="2">
        <v>1</v>
      </c>
      <c r="P19" s="2">
        <v>2820</v>
      </c>
      <c r="Q19" s="6">
        <v>8.1999999999999993</v>
      </c>
      <c r="R19" s="2">
        <f t="shared" si="0"/>
        <v>25</v>
      </c>
      <c r="S19" s="2">
        <f t="shared" si="1"/>
        <v>28</v>
      </c>
      <c r="T19" s="14">
        <f t="shared" si="2"/>
        <v>141</v>
      </c>
    </row>
    <row r="20" spans="1:20" x14ac:dyDescent="0.25">
      <c r="A20" s="3" t="s">
        <v>42</v>
      </c>
      <c r="B20" s="1" t="s">
        <v>27</v>
      </c>
      <c r="C20" s="1" t="s">
        <v>28</v>
      </c>
      <c r="D20" s="1">
        <v>26</v>
      </c>
      <c r="E20" s="1">
        <v>34</v>
      </c>
      <c r="F20" s="1">
        <v>2</v>
      </c>
      <c r="G20" s="1">
        <v>6</v>
      </c>
      <c r="H20" s="1">
        <v>12</v>
      </c>
      <c r="I20" s="1">
        <v>5</v>
      </c>
      <c r="J20" s="1">
        <v>1800</v>
      </c>
      <c r="K20" s="1">
        <v>86</v>
      </c>
      <c r="L20" s="1">
        <v>83</v>
      </c>
      <c r="M20" s="1">
        <v>37</v>
      </c>
      <c r="N20" s="1">
        <v>4</v>
      </c>
      <c r="O20" s="1">
        <v>0</v>
      </c>
      <c r="P20" s="1">
        <v>3060</v>
      </c>
      <c r="Q20" s="5">
        <v>7.5</v>
      </c>
      <c r="R20" s="2">
        <f t="shared" si="0"/>
        <v>16.7</v>
      </c>
      <c r="S20" s="2">
        <f t="shared" si="1"/>
        <v>8</v>
      </c>
      <c r="T20" s="14">
        <f t="shared" si="2"/>
        <v>1530</v>
      </c>
    </row>
    <row r="21" spans="1:20" x14ac:dyDescent="0.25">
      <c r="A21" s="10" t="s">
        <v>43</v>
      </c>
      <c r="B21" s="11" t="s">
        <v>25</v>
      </c>
      <c r="C21" s="11" t="s">
        <v>19</v>
      </c>
      <c r="D21" s="11">
        <v>21</v>
      </c>
      <c r="E21" s="11">
        <v>25</v>
      </c>
      <c r="F21" s="11">
        <v>12</v>
      </c>
      <c r="G21" s="11">
        <v>7</v>
      </c>
      <c r="H21" s="11">
        <v>55</v>
      </c>
      <c r="I21" s="11">
        <v>30</v>
      </c>
      <c r="J21" s="11">
        <v>780</v>
      </c>
      <c r="K21" s="11">
        <v>74</v>
      </c>
      <c r="L21" s="11">
        <v>14</v>
      </c>
      <c r="M21" s="11">
        <v>5</v>
      </c>
      <c r="N21" s="11">
        <v>6</v>
      </c>
      <c r="O21" s="11">
        <v>0</v>
      </c>
      <c r="P21" s="11">
        <v>2100</v>
      </c>
      <c r="Q21" s="12">
        <v>7.6</v>
      </c>
      <c r="R21" s="11">
        <f t="shared" si="0"/>
        <v>21.8</v>
      </c>
      <c r="S21" s="11">
        <f t="shared" si="1"/>
        <v>19</v>
      </c>
      <c r="T21" s="14">
        <f t="shared" si="2"/>
        <v>175</v>
      </c>
    </row>
  </sheetData>
  <conditionalFormatting sqref="Q2:Q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4D0A-4B29-4C3F-98B9-CE570DE4C8C5}">
  <dimension ref="B4:G44"/>
  <sheetViews>
    <sheetView workbookViewId="0">
      <selection activeCell="B7" sqref="B7:G11"/>
    </sheetView>
  </sheetViews>
  <sheetFormatPr defaultRowHeight="15" x14ac:dyDescent="0.25"/>
  <cols>
    <col min="1" max="1" width="13.28515625" bestFit="1" customWidth="1"/>
    <col min="2" max="2" width="13" customWidth="1"/>
    <col min="3" max="3" width="14.42578125" customWidth="1"/>
    <col min="4" max="4" width="12.42578125" customWidth="1"/>
    <col min="5" max="5" width="22.28515625" customWidth="1"/>
    <col min="6" max="6" width="14.42578125" customWidth="1"/>
  </cols>
  <sheetData>
    <row r="4" spans="2:7" x14ac:dyDescent="0.25">
      <c r="B4" s="32" t="s">
        <v>52</v>
      </c>
      <c r="C4" s="32"/>
      <c r="D4" s="32"/>
      <c r="E4" s="32"/>
    </row>
    <row r="5" spans="2:7" x14ac:dyDescent="0.25">
      <c r="B5" s="32"/>
      <c r="C5" s="32"/>
      <c r="D5" s="32"/>
      <c r="E5" s="32"/>
    </row>
    <row r="7" spans="2:7" x14ac:dyDescent="0.25">
      <c r="B7" t="s">
        <v>1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</row>
    <row r="8" spans="2:7" x14ac:dyDescent="0.25">
      <c r="B8" t="s">
        <v>27</v>
      </c>
      <c r="C8">
        <f>SUMIF(Table1[Team],B8, Table1[Goals])</f>
        <v>33</v>
      </c>
      <c r="D8">
        <f>SUMIF(Table1[Team],B8, Table1[Assists])</f>
        <v>34</v>
      </c>
      <c r="E8">
        <f>ROUND(AVERAGEIF(Table1[Team],B8, Table1[Avg Match Rating]), 2)</f>
        <v>7.62</v>
      </c>
      <c r="F8">
        <f>ROUND(AVERAGEIF(Table1[Team],B8, Table1[Pass Accuracy (%)]), 2)</f>
        <v>83.8</v>
      </c>
      <c r="G8">
        <f>SUMIF(Table1[Team],B8,Table1[Tackles])</f>
        <v>315</v>
      </c>
    </row>
    <row r="9" spans="2:7" x14ac:dyDescent="0.25">
      <c r="B9" t="s">
        <v>18</v>
      </c>
      <c r="C9">
        <f>SUMIF(Table1[Team],B9, Table1[Goals])</f>
        <v>54</v>
      </c>
      <c r="D9">
        <f>SUMIF(Table1[Team],B9, Table1[Assists])</f>
        <v>45</v>
      </c>
      <c r="E9">
        <f>ROUND(AVERAGEIF(Table1[Team],B9, Table1[Avg Match Rating]), 2)</f>
        <v>7.7</v>
      </c>
      <c r="F9">
        <f>ROUND(AVERAGEIF(Table1[Team],B9, Table1[Pass Accuracy (%)]), 2)</f>
        <v>82.4</v>
      </c>
      <c r="G9">
        <f>SUMIF(Table1[Team],B9,Table1[Tackles])</f>
        <v>218</v>
      </c>
    </row>
    <row r="10" spans="2:7" x14ac:dyDescent="0.25">
      <c r="B10" t="s">
        <v>21</v>
      </c>
      <c r="C10">
        <f>SUMIF(Table1[Team],B10, Table1[Goals])</f>
        <v>63</v>
      </c>
      <c r="D10">
        <f>SUMIF(Table1[Team],B10, Table1[Assists])</f>
        <v>46</v>
      </c>
      <c r="E10">
        <f>ROUND(AVERAGEIF(Table1[Team],B10, Table1[Avg Match Rating]), 2)</f>
        <v>7.82</v>
      </c>
      <c r="F10">
        <f>ROUND(AVERAGEIF(Table1[Team],B10, Table1[Pass Accuracy (%)]), 2)</f>
        <v>82.2</v>
      </c>
      <c r="G10">
        <f>SUMIF(Table1[Team],B10,Table1[Tackles])</f>
        <v>227</v>
      </c>
    </row>
    <row r="11" spans="2:7" x14ac:dyDescent="0.25">
      <c r="B11" t="s">
        <v>25</v>
      </c>
      <c r="C11">
        <f>SUMIF(Table1[Team],B11, Table1[Goals])</f>
        <v>46</v>
      </c>
      <c r="D11">
        <f>SUMIF(Table1[Team],B11, Table1[Assists])</f>
        <v>38</v>
      </c>
      <c r="E11">
        <f>ROUND(AVERAGEIF(Table1[Team],B11, Table1[Avg Match Rating]), 2)</f>
        <v>7.54</v>
      </c>
      <c r="F11">
        <f>ROUND(AVERAGEIF(Table1[Team],B11, Table1[Pass Accuracy (%)]), 2)</f>
        <v>80</v>
      </c>
      <c r="G11">
        <f>SUMIF(Table1[Team],B11,Table1[Tackles])</f>
        <v>224</v>
      </c>
    </row>
    <row r="13" spans="2:7" x14ac:dyDescent="0.25">
      <c r="B13" s="32" t="s">
        <v>53</v>
      </c>
      <c r="C13" s="32"/>
      <c r="D13" s="32"/>
      <c r="E13" s="32"/>
    </row>
    <row r="14" spans="2:7" x14ac:dyDescent="0.25">
      <c r="B14" s="32"/>
      <c r="C14" s="32"/>
      <c r="D14" s="32"/>
      <c r="E14" s="32"/>
    </row>
    <row r="16" spans="2:7" x14ac:dyDescent="0.25">
      <c r="B16" t="s">
        <v>2</v>
      </c>
      <c r="C16" t="s">
        <v>54</v>
      </c>
      <c r="D16" t="s">
        <v>55</v>
      </c>
      <c r="E16" t="s">
        <v>56</v>
      </c>
      <c r="F16" t="s">
        <v>49</v>
      </c>
    </row>
    <row r="17" spans="2:6" x14ac:dyDescent="0.25">
      <c r="B17" t="s">
        <v>57</v>
      </c>
      <c r="C17">
        <f>COUNTIF(Table1[Position],"FW")</f>
        <v>7</v>
      </c>
      <c r="D17">
        <f>ROUND(AVERAGEIF(Table1[Position], "FW", Table1[Goals]),1)</f>
        <v>17.600000000000001</v>
      </c>
      <c r="E17">
        <f>ROUND(AVERAGEIF(Table1[Position], "FW", Table1[Assists]),1)</f>
        <v>8.6</v>
      </c>
      <c r="F17">
        <f>ROUND(AVERAGEIF(Table1[Position],"FW", Table1[Avg Match Rating]), 2)</f>
        <v>7.91</v>
      </c>
    </row>
    <row r="18" spans="2:6" x14ac:dyDescent="0.25">
      <c r="B18" t="s">
        <v>58</v>
      </c>
      <c r="C18">
        <f>COUNTIF(Table1[Position],"MF")</f>
        <v>7</v>
      </c>
      <c r="D18">
        <f>ROUND(AVERAGEIF(Table1[Position], "MF", Table1[Goals]),1)</f>
        <v>9.1</v>
      </c>
      <c r="E18">
        <f>ROUND(AVERAGEIF(Table1[Position], "MF", Table1[Assists]),1)</f>
        <v>11.4</v>
      </c>
      <c r="F18">
        <f>ROUND(AVERAGEIF(Table1[Position],"MF", Table1[Avg Match Rating]), 2)</f>
        <v>7.67</v>
      </c>
    </row>
    <row r="19" spans="2:6" x14ac:dyDescent="0.25">
      <c r="B19" t="s">
        <v>59</v>
      </c>
      <c r="C19">
        <f>COUNTIF(Table1[Position],"DF")</f>
        <v>6</v>
      </c>
      <c r="D19">
        <f>ROUND(AVERAGEIF(Table1[Position], "DF", Table1[Goals]),1)</f>
        <v>1.5</v>
      </c>
      <c r="E19">
        <f>ROUND(AVERAGEIF(Table1[Position], "DF", Table1[Assists]),1)</f>
        <v>3.8</v>
      </c>
      <c r="F19">
        <f>ROUND(AVERAGEIF(Table1[Position],"DF", Table1[Avg Match Rating]), 2)</f>
        <v>7.38</v>
      </c>
    </row>
    <row r="21" spans="2:6" x14ac:dyDescent="0.25">
      <c r="B21" s="32" t="s">
        <v>60</v>
      </c>
      <c r="C21" s="32"/>
      <c r="D21" s="32"/>
      <c r="E21" s="32"/>
    </row>
    <row r="22" spans="2:6" x14ac:dyDescent="0.25">
      <c r="B22" s="32"/>
      <c r="C22" s="32"/>
      <c r="D22" s="32"/>
      <c r="E22" s="32"/>
    </row>
    <row r="24" spans="2:6" x14ac:dyDescent="0.25">
      <c r="B24" t="s">
        <v>61</v>
      </c>
      <c r="C24" t="s">
        <v>1</v>
      </c>
      <c r="D24" t="s">
        <v>62</v>
      </c>
      <c r="E24" t="s">
        <v>49</v>
      </c>
    </row>
    <row r="25" spans="2:6" x14ac:dyDescent="0.25">
      <c r="B25" s="15" t="s">
        <v>17</v>
      </c>
      <c r="C25" t="str">
        <f>VLOOKUP(B25,Table1[[#All],[Player Name]:[Team]],2,FALSE)</f>
        <v>FC Northgate</v>
      </c>
      <c r="D25">
        <f>VLOOKUP(B25,Table1[[#All],[Player Name]:[Goals]],6,FALSE)</f>
        <v>22</v>
      </c>
      <c r="E25">
        <f>VLOOKUP(B25,Table1[[#All],[Player Name]:[Avg Match Rating]],17,FALSE)</f>
        <v>8.1</v>
      </c>
    </row>
    <row r="26" spans="2:6" x14ac:dyDescent="0.25">
      <c r="B26" s="16" t="s">
        <v>41</v>
      </c>
      <c r="C26" t="str">
        <f>VLOOKUP(B26,Table1[[#All],[Player Name]:[Team]],2,FALSE)</f>
        <v>Riverside City</v>
      </c>
      <c r="D26">
        <f>VLOOKUP(B26,Table1[[#All],[Player Name]:[Goals]],6,FALSE)</f>
        <v>20</v>
      </c>
      <c r="E26">
        <f>VLOOKUP(B26,Table1[[#All],[Player Name]:[Avg Match Rating]],17,FALSE)</f>
        <v>8.1999999999999993</v>
      </c>
    </row>
    <row r="27" spans="2:6" ht="25.5" x14ac:dyDescent="0.25">
      <c r="B27" s="16" t="s">
        <v>20</v>
      </c>
      <c r="C27" t="str">
        <f>VLOOKUP(B27,Table1[[#All],[Player Name]:[Team]],2,FALSE)</f>
        <v>Riverside City</v>
      </c>
      <c r="D27">
        <f>VLOOKUP(B27,Table1[[#All],[Player Name]:[Goals]],6,FALSE)</f>
        <v>19</v>
      </c>
      <c r="E27">
        <f>VLOOKUP(B27,Table1[[#All],[Player Name]:[Avg Match Rating]],17,FALSE)</f>
        <v>7.9</v>
      </c>
    </row>
    <row r="28" spans="2:6" ht="25.5" x14ac:dyDescent="0.25">
      <c r="B28" s="16" t="s">
        <v>37</v>
      </c>
      <c r="C28" t="str">
        <f>VLOOKUP(B28,Table1[[#All],[Player Name]:[Team]],2,FALSE)</f>
        <v>Eastside FC</v>
      </c>
      <c r="D28">
        <f>VLOOKUP(B28,Table1[[#All],[Player Name]:[Goals]],6,FALSE)</f>
        <v>18</v>
      </c>
      <c r="E28">
        <f>VLOOKUP(B28,Table1[[#All],[Player Name]:[Avg Match Rating]],17,FALSE)</f>
        <v>8</v>
      </c>
    </row>
    <row r="29" spans="2:6" ht="18.75" customHeight="1" x14ac:dyDescent="0.25">
      <c r="B29" s="15" t="s">
        <v>30</v>
      </c>
      <c r="C29" t="str">
        <f>VLOOKUP(B29,Table1[[#All],[Player Name]:[Team]],2,FALSE)</f>
        <v>Valley United</v>
      </c>
      <c r="D29">
        <f>VLOOKUP(B29,Table1[[#All],[Player Name]:[Goals]],6,FALSE)</f>
        <v>17</v>
      </c>
      <c r="E29">
        <f>VLOOKUP(B29,Table1[[#All],[Player Name]:[Avg Match Rating]],17,FALSE)</f>
        <v>7.7</v>
      </c>
    </row>
    <row r="30" spans="2:6" ht="25.5" x14ac:dyDescent="0.25">
      <c r="B30" s="15" t="s">
        <v>32</v>
      </c>
      <c r="C30" t="str">
        <f>VLOOKUP(B30,Table1[[#All],[Player Name]:[Team]],2,FALSE)</f>
        <v>FC Northgate</v>
      </c>
      <c r="D30">
        <f>VLOOKUP(B30,Table1[[#All],[Player Name]:[Goals]],6,FALSE)</f>
        <v>15</v>
      </c>
      <c r="E30">
        <f>VLOOKUP(B30,Table1[[#All],[Player Name]:[Avg Match Rating]],17,FALSE)</f>
        <v>7.9</v>
      </c>
    </row>
    <row r="31" spans="2:6" ht="25.5" x14ac:dyDescent="0.25">
      <c r="B31" s="16" t="s">
        <v>29</v>
      </c>
      <c r="C31" t="str">
        <f>VLOOKUP(B31,Table1[[#All],[Player Name]:[Team]],2,FALSE)</f>
        <v>Riverside City</v>
      </c>
      <c r="D31">
        <f>VLOOKUP(B31,Table1[[#All],[Player Name]:[Goals]],6,FALSE)</f>
        <v>13</v>
      </c>
      <c r="E31">
        <f>VLOOKUP(B31,Table1[[#All],[Player Name]:[Avg Match Rating]],17,FALSE)</f>
        <v>7.8</v>
      </c>
    </row>
    <row r="32" spans="2:6" x14ac:dyDescent="0.25">
      <c r="B32" s="16" t="s">
        <v>43</v>
      </c>
      <c r="C32" t="str">
        <f>VLOOKUP(B32,Table1[[#All],[Player Name]:[Team]],2,FALSE)</f>
        <v>Valley United</v>
      </c>
      <c r="D32">
        <f>VLOOKUP(B32,Table1[[#All],[Player Name]:[Goals]],6,FALSE)</f>
        <v>12</v>
      </c>
      <c r="E32">
        <f>VLOOKUP(B32,Table1[[#All],[Player Name]:[Avg Match Rating]],17,FALSE)</f>
        <v>7.6</v>
      </c>
    </row>
    <row r="33" spans="2:5" x14ac:dyDescent="0.25">
      <c r="B33" s="15" t="s">
        <v>22</v>
      </c>
      <c r="C33" t="str">
        <f>VLOOKUP(B33,Table1[[#All],[Player Name]:[Team]],2,FALSE)</f>
        <v>FC Northgate</v>
      </c>
      <c r="D33">
        <f>VLOOKUP(B33,Table1[[#All],[Player Name]:[Goals]],6,FALSE)</f>
        <v>11</v>
      </c>
      <c r="E33">
        <f>VLOOKUP(B33,Table1[[#All],[Player Name]:[Avg Match Rating]],17,FALSE)</f>
        <v>8</v>
      </c>
    </row>
    <row r="34" spans="2:5" x14ac:dyDescent="0.25">
      <c r="B34" s="16" t="s">
        <v>35</v>
      </c>
      <c r="C34" t="str">
        <f>VLOOKUP(B34,Table1[[#All],[Player Name]:[Team]],2,FALSE)</f>
        <v>Riverside City</v>
      </c>
      <c r="D34">
        <f>VLOOKUP(B34,Table1[[#All],[Player Name]:[Goals]],6,FALSE)</f>
        <v>10</v>
      </c>
      <c r="E34">
        <f>VLOOKUP(B34,Table1[[#All],[Player Name]:[Avg Match Rating]],17,FALSE)</f>
        <v>7.8</v>
      </c>
    </row>
    <row r="35" spans="2:5" x14ac:dyDescent="0.25">
      <c r="B35" s="16" t="s">
        <v>33</v>
      </c>
      <c r="C35" t="str">
        <f>VLOOKUP(B35,Table1[[#All],[Player Name]:[Team]],2,FALSE)</f>
        <v>Eastside FC</v>
      </c>
      <c r="D35">
        <f>VLOOKUP(B35,Table1[[#All],[Player Name]:[Goals]],6,FALSE)</f>
        <v>9</v>
      </c>
      <c r="E35">
        <f>VLOOKUP(B35,Table1[[#All],[Player Name]:[Avg Match Rating]],17,FALSE)</f>
        <v>7.7</v>
      </c>
    </row>
    <row r="36" spans="2:5" x14ac:dyDescent="0.25">
      <c r="B36" s="16" t="s">
        <v>24</v>
      </c>
      <c r="C36" t="str">
        <f>VLOOKUP(B36,Table1[[#All],[Player Name]:[Team]],2,FALSE)</f>
        <v>Valley United</v>
      </c>
      <c r="D36">
        <f>VLOOKUP(B36,Table1[[#All],[Player Name]:[Goals]],6,FALSE)</f>
        <v>8</v>
      </c>
      <c r="E36">
        <f>VLOOKUP(B36,Table1[[#All],[Player Name]:[Avg Match Rating]],17,FALSE)</f>
        <v>7.6</v>
      </c>
    </row>
    <row r="37" spans="2:5" x14ac:dyDescent="0.25">
      <c r="B37" s="15" t="s">
        <v>38</v>
      </c>
      <c r="C37" t="str">
        <f>VLOOKUP(B37,Table1[[#All],[Player Name]:[Team]],2,FALSE)</f>
        <v>Valley United</v>
      </c>
      <c r="D37">
        <f>VLOOKUP(B37,Table1[[#All],[Player Name]:[Goals]],6,FALSE)</f>
        <v>7</v>
      </c>
      <c r="E37">
        <f>VLOOKUP(B37,Table1[[#All],[Player Name]:[Avg Match Rating]],17,FALSE)</f>
        <v>7.5</v>
      </c>
    </row>
    <row r="38" spans="2:5" x14ac:dyDescent="0.25">
      <c r="B38" s="15" t="s">
        <v>40</v>
      </c>
      <c r="C38" t="str">
        <f>VLOOKUP(B38,Table1[[#All],[Player Name]:[Team]],2,FALSE)</f>
        <v>FC Northgate</v>
      </c>
      <c r="D38">
        <f>VLOOKUP(B38,Table1[[#All],[Player Name]:[Goals]],6,FALSE)</f>
        <v>6</v>
      </c>
      <c r="E38">
        <f>VLOOKUP(B38,Table1[[#All],[Player Name]:[Avg Match Rating]],17,FALSE)</f>
        <v>7.3</v>
      </c>
    </row>
    <row r="39" spans="2:5" x14ac:dyDescent="0.25">
      <c r="B39" s="15" t="s">
        <v>26</v>
      </c>
      <c r="C39" t="str">
        <f>VLOOKUP(B39,Table1[[#All],[Player Name]:[Team]],2,FALSE)</f>
        <v>Eastside FC</v>
      </c>
      <c r="D39">
        <f>VLOOKUP(B39,Table1[[#All],[Player Name]:[Goals]],6,FALSE)</f>
        <v>3</v>
      </c>
      <c r="E39">
        <f>VLOOKUP(B39,Table1[[#All],[Player Name]:[Avg Match Rating]],17,FALSE)</f>
        <v>7.4</v>
      </c>
    </row>
    <row r="40" spans="2:5" x14ac:dyDescent="0.25">
      <c r="B40" s="15" t="s">
        <v>34</v>
      </c>
      <c r="C40" t="str">
        <f>VLOOKUP(B40,Table1[[#All],[Player Name]:[Team]],2,FALSE)</f>
        <v>Valley United</v>
      </c>
      <c r="D40">
        <f>VLOOKUP(B40,Table1[[#All],[Player Name]:[Goals]],6,FALSE)</f>
        <v>2</v>
      </c>
      <c r="E40">
        <f>VLOOKUP(B40,Table1[[#All],[Player Name]:[Avg Match Rating]],17,FALSE)</f>
        <v>7.3</v>
      </c>
    </row>
    <row r="41" spans="2:5" ht="25.5" x14ac:dyDescent="0.25">
      <c r="B41" s="15" t="s">
        <v>42</v>
      </c>
      <c r="C41" t="str">
        <f>VLOOKUP(B41,Table1[[#All],[Player Name]:[Team]],2,FALSE)</f>
        <v>Eastside FC</v>
      </c>
      <c r="D41">
        <f>VLOOKUP(B41,Table1[[#All],[Player Name]:[Goals]],6,FALSE)</f>
        <v>2</v>
      </c>
      <c r="E41">
        <f>VLOOKUP(B41,Table1[[#All],[Player Name]:[Avg Match Rating]],17,FALSE)</f>
        <v>7.5</v>
      </c>
    </row>
    <row r="42" spans="2:5" x14ac:dyDescent="0.25">
      <c r="B42" s="16" t="s">
        <v>31</v>
      </c>
      <c r="C42" t="str">
        <f>VLOOKUP(B42,Table1[[#All],[Player Name]:[Team]],2,FALSE)</f>
        <v>Eastside FC</v>
      </c>
      <c r="D42">
        <f>VLOOKUP(B42,Table1[[#All],[Player Name]:[Goals]],6,FALSE)</f>
        <v>1</v>
      </c>
      <c r="E42">
        <f>VLOOKUP(B42,Table1[[#All],[Player Name]:[Avg Match Rating]],17,FALSE)</f>
        <v>7.5</v>
      </c>
    </row>
    <row r="43" spans="2:5" x14ac:dyDescent="0.25">
      <c r="B43" s="16" t="s">
        <v>39</v>
      </c>
      <c r="C43" t="str">
        <f>VLOOKUP(B43,Table1[[#All],[Player Name]:[Team]],2,FALSE)</f>
        <v>Riverside City</v>
      </c>
      <c r="D43">
        <f>VLOOKUP(B43,Table1[[#All],[Player Name]:[Goals]],6,FALSE)</f>
        <v>1</v>
      </c>
      <c r="E43">
        <f>VLOOKUP(B43,Table1[[#All],[Player Name]:[Avg Match Rating]],17,FALSE)</f>
        <v>7.4</v>
      </c>
    </row>
    <row r="44" spans="2:5" x14ac:dyDescent="0.25">
      <c r="B44" s="15" t="s">
        <v>36</v>
      </c>
      <c r="C44" t="str">
        <f>VLOOKUP(B44,Table1[[#All],[Player Name]:[Team]],2,FALSE)</f>
        <v>FC Northgate</v>
      </c>
      <c r="D44">
        <f>VLOOKUP(B44,Table1[[#All],[Player Name]:[Goals]],6,FALSE)</f>
        <v>0</v>
      </c>
      <c r="E44">
        <f>VLOOKUP(B44,Table1[[#All],[Player Name]:[Avg Match Rating]],17,FALSE)</f>
        <v>7.2</v>
      </c>
    </row>
  </sheetData>
  <mergeCells count="3">
    <mergeCell ref="B4:E5"/>
    <mergeCell ref="B13:E14"/>
    <mergeCell ref="B21:E2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012B-785F-438A-A8E3-46C167982EF5}">
  <dimension ref="A3:C29"/>
  <sheetViews>
    <sheetView zoomScale="77" zoomScaleNormal="77" workbookViewId="0">
      <selection activeCell="C27" sqref="C27"/>
    </sheetView>
  </sheetViews>
  <sheetFormatPr defaultRowHeight="15" x14ac:dyDescent="0.25"/>
  <cols>
    <col min="1" max="1" width="13.5703125" bestFit="1" customWidth="1"/>
    <col min="2" max="2" width="12.5703125" bestFit="1" customWidth="1"/>
    <col min="3" max="3" width="13.7109375" bestFit="1" customWidth="1"/>
    <col min="4" max="4" width="26.85546875" bestFit="1" customWidth="1"/>
  </cols>
  <sheetData>
    <row r="3" spans="1:3" x14ac:dyDescent="0.25">
      <c r="A3" s="17" t="s">
        <v>63</v>
      </c>
      <c r="B3" t="s">
        <v>65</v>
      </c>
      <c r="C3" t="s">
        <v>66</v>
      </c>
    </row>
    <row r="4" spans="1:3" x14ac:dyDescent="0.25">
      <c r="A4" s="18" t="s">
        <v>27</v>
      </c>
      <c r="B4">
        <v>33</v>
      </c>
      <c r="C4">
        <v>34</v>
      </c>
    </row>
    <row r="5" spans="1:3" x14ac:dyDescent="0.25">
      <c r="A5" s="18" t="s">
        <v>18</v>
      </c>
      <c r="B5">
        <v>54</v>
      </c>
      <c r="C5">
        <v>45</v>
      </c>
    </row>
    <row r="6" spans="1:3" x14ac:dyDescent="0.25">
      <c r="A6" s="18" t="s">
        <v>21</v>
      </c>
      <c r="B6">
        <v>63</v>
      </c>
      <c r="C6">
        <v>46</v>
      </c>
    </row>
    <row r="7" spans="1:3" x14ac:dyDescent="0.25">
      <c r="A7" s="18" t="s">
        <v>25</v>
      </c>
      <c r="B7">
        <v>46</v>
      </c>
      <c r="C7">
        <v>38</v>
      </c>
    </row>
    <row r="8" spans="1:3" x14ac:dyDescent="0.25">
      <c r="A8" s="18" t="s">
        <v>64</v>
      </c>
      <c r="B8">
        <v>196</v>
      </c>
      <c r="C8">
        <v>163</v>
      </c>
    </row>
    <row r="11" spans="1:3" x14ac:dyDescent="0.25">
      <c r="A11" s="17" t="s">
        <v>63</v>
      </c>
      <c r="B11" t="s">
        <v>65</v>
      </c>
      <c r="C11" t="s">
        <v>66</v>
      </c>
    </row>
    <row r="12" spans="1:3" x14ac:dyDescent="0.25">
      <c r="A12" s="18" t="s">
        <v>28</v>
      </c>
      <c r="B12">
        <v>9</v>
      </c>
      <c r="C12">
        <v>23</v>
      </c>
    </row>
    <row r="13" spans="1:3" x14ac:dyDescent="0.25">
      <c r="A13" s="18" t="s">
        <v>19</v>
      </c>
      <c r="B13">
        <v>123</v>
      </c>
      <c r="C13">
        <v>60</v>
      </c>
    </row>
    <row r="14" spans="1:3" x14ac:dyDescent="0.25">
      <c r="A14" s="18" t="s">
        <v>23</v>
      </c>
      <c r="B14">
        <v>64</v>
      </c>
      <c r="C14">
        <v>80</v>
      </c>
    </row>
    <row r="15" spans="1:3" x14ac:dyDescent="0.25">
      <c r="A15" s="18" t="s">
        <v>64</v>
      </c>
      <c r="B15">
        <v>196</v>
      </c>
      <c r="C15">
        <v>163</v>
      </c>
    </row>
    <row r="24" spans="1:2" x14ac:dyDescent="0.25">
      <c r="A24" s="17" t="s">
        <v>63</v>
      </c>
      <c r="B24" t="s">
        <v>67</v>
      </c>
    </row>
    <row r="25" spans="1:2" x14ac:dyDescent="0.25">
      <c r="A25" s="18" t="s">
        <v>27</v>
      </c>
      <c r="B25">
        <v>7.62</v>
      </c>
    </row>
    <row r="26" spans="1:2" x14ac:dyDescent="0.25">
      <c r="A26" s="18" t="s">
        <v>18</v>
      </c>
      <c r="B26">
        <v>7.7</v>
      </c>
    </row>
    <row r="27" spans="1:2" x14ac:dyDescent="0.25">
      <c r="A27" s="18" t="s">
        <v>21</v>
      </c>
      <c r="B27">
        <v>7.8199999999999985</v>
      </c>
    </row>
    <row r="28" spans="1:2" x14ac:dyDescent="0.25">
      <c r="A28" s="18" t="s">
        <v>25</v>
      </c>
      <c r="B28">
        <v>7.5400000000000009</v>
      </c>
    </row>
    <row r="29" spans="1:2" x14ac:dyDescent="0.25">
      <c r="A29" s="18" t="s">
        <v>64</v>
      </c>
      <c r="B29">
        <v>7.67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825B-605A-4DC0-B40A-3DF807BCFA2F}">
  <dimension ref="A1:N42"/>
  <sheetViews>
    <sheetView showGridLines="0" tabSelected="1" topLeftCell="A31" zoomScale="75" zoomScaleNormal="75" workbookViewId="0">
      <selection activeCell="J29" sqref="J29:L33"/>
    </sheetView>
  </sheetViews>
  <sheetFormatPr defaultRowHeight="15" x14ac:dyDescent="0.25"/>
  <cols>
    <col min="1" max="1" width="6.85546875" style="19" customWidth="1"/>
    <col min="2" max="2" width="12.7109375" style="19" customWidth="1"/>
    <col min="3" max="3" width="15.28515625" style="19" customWidth="1"/>
    <col min="4" max="4" width="9.42578125" style="19" customWidth="1"/>
    <col min="5" max="5" width="14" style="19" customWidth="1"/>
    <col min="6" max="6" width="13.140625" style="19" bestFit="1" customWidth="1"/>
    <col min="7" max="7" width="14.140625" style="19" bestFit="1" customWidth="1"/>
    <col min="8" max="8" width="12.5703125" style="19" bestFit="1" customWidth="1"/>
    <col min="9" max="9" width="13.42578125" style="19" customWidth="1"/>
    <col min="10" max="10" width="14.5703125" style="19" bestFit="1" customWidth="1"/>
    <col min="11" max="11" width="9.140625" style="19"/>
    <col min="12" max="12" width="14.28515625" style="19" customWidth="1"/>
    <col min="13" max="16384" width="9.140625" style="19"/>
  </cols>
  <sheetData>
    <row r="1" spans="1:14" x14ac:dyDescent="0.25">
      <c r="A1" s="23" t="s">
        <v>68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x14ac:dyDescent="0.25">
      <c r="B4" s="29" t="s">
        <v>69</v>
      </c>
      <c r="C4" s="29"/>
      <c r="D4" s="29"/>
      <c r="F4" s="29" t="s">
        <v>70</v>
      </c>
      <c r="G4" s="29"/>
      <c r="H4" s="29"/>
      <c r="J4" s="29" t="s">
        <v>71</v>
      </c>
      <c r="K4" s="29"/>
      <c r="L4" s="29"/>
    </row>
    <row r="5" spans="1:14" ht="15" customHeight="1" x14ac:dyDescent="0.25">
      <c r="B5" s="26">
        <f>SUM('Raw Player Data'!F2:F21)</f>
        <v>196</v>
      </c>
      <c r="C5" s="26"/>
      <c r="D5" s="26"/>
      <c r="F5" s="26">
        <f>SUM('Raw Player Data'!G2:G21)</f>
        <v>163</v>
      </c>
      <c r="G5" s="26"/>
      <c r="H5" s="26"/>
      <c r="J5" s="26">
        <f>ROUND(AVERAGE('Raw Player Data'!Q2:Q21),2)</f>
        <v>7.67</v>
      </c>
      <c r="K5" s="26"/>
      <c r="L5" s="26"/>
    </row>
    <row r="6" spans="1:14" ht="15" customHeight="1" x14ac:dyDescent="0.25">
      <c r="B6" s="26"/>
      <c r="C6" s="26"/>
      <c r="D6" s="26"/>
      <c r="F6" s="26"/>
      <c r="G6" s="26"/>
      <c r="H6" s="26"/>
      <c r="J6" s="26"/>
      <c r="K6" s="26"/>
      <c r="L6" s="26"/>
    </row>
    <row r="7" spans="1:14" ht="15" customHeight="1" x14ac:dyDescent="0.25">
      <c r="B7" s="26"/>
      <c r="C7" s="26"/>
      <c r="D7" s="26"/>
      <c r="F7" s="26"/>
      <c r="G7" s="26"/>
      <c r="H7" s="26"/>
      <c r="J7" s="26"/>
      <c r="K7" s="26"/>
      <c r="L7" s="26"/>
    </row>
    <row r="8" spans="1:14" ht="15" customHeight="1" x14ac:dyDescent="0.25">
      <c r="B8" s="26"/>
      <c r="C8" s="26"/>
      <c r="D8" s="26"/>
      <c r="F8" s="26"/>
      <c r="G8" s="26"/>
      <c r="H8" s="26"/>
      <c r="J8" s="26"/>
      <c r="K8" s="26"/>
      <c r="L8" s="26"/>
    </row>
    <row r="9" spans="1:14" ht="15" customHeight="1" x14ac:dyDescent="0.25">
      <c r="B9" s="26"/>
      <c r="C9" s="26"/>
      <c r="D9" s="26"/>
      <c r="F9" s="26"/>
      <c r="G9" s="26"/>
      <c r="H9" s="26"/>
      <c r="J9" s="26"/>
      <c r="K9" s="26"/>
      <c r="L9" s="26"/>
    </row>
    <row r="11" spans="1:14" x14ac:dyDescent="0.25">
      <c r="B11" s="29" t="s">
        <v>74</v>
      </c>
      <c r="C11" s="29"/>
      <c r="D11" s="29"/>
      <c r="F11" s="29" t="s">
        <v>75</v>
      </c>
      <c r="G11" s="29"/>
      <c r="H11" s="29"/>
      <c r="J11" s="29" t="s">
        <v>72</v>
      </c>
      <c r="K11" s="29"/>
      <c r="L11" s="29"/>
    </row>
    <row r="12" spans="1:14" ht="15" customHeight="1" x14ac:dyDescent="0.25">
      <c r="B12" s="29" t="str">
        <f>INDEX('Raw Player Data'!A:A, MATCH(MAX('Raw Player Data'!F:F), 'Raw Player Data'!F:F, 0))</f>
        <v>Liam Walker</v>
      </c>
      <c r="C12" s="29"/>
      <c r="D12" s="29"/>
      <c r="F12" s="29" t="str">
        <f>INDEX('Raw Player Data'!A2:A21, MATCH(MAX('Raw Player Data'!G2:G21), 'Raw Player Data'!G2:G21, 0))</f>
        <v>Henri Leclair</v>
      </c>
      <c r="G12" s="29"/>
      <c r="H12" s="29"/>
      <c r="J12" s="26">
        <f>MAX('Raw Player Data'!K2:K21)</f>
        <v>88</v>
      </c>
      <c r="K12" s="26"/>
      <c r="L12" s="26"/>
    </row>
    <row r="13" spans="1:14" ht="15" customHeight="1" x14ac:dyDescent="0.25">
      <c r="B13" s="26">
        <f>MAX('Raw Player Data'!F2:F21)</f>
        <v>22</v>
      </c>
      <c r="C13" s="26"/>
      <c r="D13" s="26"/>
      <c r="F13" s="26">
        <f>MAX('Raw Player Data'!G2:G21)</f>
        <v>15</v>
      </c>
      <c r="G13" s="26"/>
      <c r="H13" s="26"/>
      <c r="J13" s="26"/>
      <c r="K13" s="26"/>
      <c r="L13" s="26"/>
    </row>
    <row r="14" spans="1:14" ht="15" customHeight="1" x14ac:dyDescent="0.25">
      <c r="B14" s="26"/>
      <c r="C14" s="26"/>
      <c r="D14" s="26"/>
      <c r="F14" s="26"/>
      <c r="G14" s="26"/>
      <c r="H14" s="26"/>
      <c r="J14" s="26"/>
      <c r="K14" s="26"/>
      <c r="L14" s="26"/>
    </row>
    <row r="15" spans="1:14" ht="15" customHeight="1" x14ac:dyDescent="0.25">
      <c r="B15" s="26"/>
      <c r="C15" s="26"/>
      <c r="D15" s="26"/>
      <c r="F15" s="26"/>
      <c r="G15" s="26"/>
      <c r="H15" s="26"/>
      <c r="J15" s="26"/>
      <c r="K15" s="26"/>
      <c r="L15" s="26"/>
    </row>
    <row r="16" spans="1:14" ht="15" customHeight="1" x14ac:dyDescent="0.25">
      <c r="B16" s="26"/>
      <c r="C16" s="26"/>
      <c r="D16" s="26"/>
      <c r="F16" s="26"/>
      <c r="G16" s="26"/>
      <c r="H16" s="26"/>
      <c r="J16" s="26"/>
      <c r="K16" s="26"/>
      <c r="L16" s="26"/>
    </row>
    <row r="18" spans="1:14" x14ac:dyDescent="0.25">
      <c r="B18" s="29" t="s">
        <v>73</v>
      </c>
      <c r="C18" s="30"/>
      <c r="D18" s="30"/>
      <c r="F18" s="29" t="s">
        <v>76</v>
      </c>
      <c r="G18" s="29"/>
      <c r="H18" s="29"/>
      <c r="J18" s="29" t="s">
        <v>77</v>
      </c>
      <c r="K18" s="29"/>
      <c r="L18" s="29"/>
    </row>
    <row r="19" spans="1:14" ht="15" customHeight="1" x14ac:dyDescent="0.25">
      <c r="B19" s="26">
        <f>SUM('Raw Player Data'!N2:N21)</f>
        <v>102</v>
      </c>
      <c r="C19" s="26"/>
      <c r="D19" s="26"/>
      <c r="F19" s="26">
        <f>SUM('Raw Player Data'!O2:O21)</f>
        <v>4</v>
      </c>
      <c r="G19" s="26"/>
      <c r="H19" s="26"/>
      <c r="J19" s="25" t="str">
        <f>INDEX('Raw Player Data'!A:A, MATCH(MAX('Raw Player Data'!E:E), 'Raw Player Data'!E:E, 0))</f>
        <v>Alex Prentice</v>
      </c>
      <c r="K19" s="25"/>
      <c r="L19" s="25"/>
    </row>
    <row r="20" spans="1:14" ht="15" customHeight="1" x14ac:dyDescent="0.25">
      <c r="B20" s="26"/>
      <c r="C20" s="26"/>
      <c r="D20" s="26"/>
      <c r="F20" s="26"/>
      <c r="G20" s="26"/>
      <c r="H20" s="26"/>
      <c r="J20" s="26">
        <f>MAX('Raw Player Data'!E2:E21)</f>
        <v>36</v>
      </c>
      <c r="K20" s="26"/>
      <c r="L20" s="26"/>
    </row>
    <row r="21" spans="1:14" ht="15" customHeight="1" x14ac:dyDescent="0.25">
      <c r="B21" s="26"/>
      <c r="C21" s="26"/>
      <c r="D21" s="26"/>
      <c r="F21" s="26"/>
      <c r="G21" s="26"/>
      <c r="H21" s="26"/>
      <c r="J21" s="26"/>
      <c r="K21" s="26"/>
      <c r="L21" s="26"/>
    </row>
    <row r="22" spans="1:14" ht="15" customHeight="1" x14ac:dyDescent="0.25">
      <c r="B22" s="26"/>
      <c r="C22" s="26"/>
      <c r="D22" s="26"/>
      <c r="F22" s="26"/>
      <c r="G22" s="26"/>
      <c r="H22" s="26"/>
      <c r="J22" s="26"/>
      <c r="K22" s="26"/>
      <c r="L22" s="26"/>
    </row>
    <row r="23" spans="1:14" ht="15" customHeight="1" x14ac:dyDescent="0.25">
      <c r="B23" s="26"/>
      <c r="C23" s="26"/>
      <c r="D23" s="26"/>
      <c r="F23" s="26"/>
      <c r="G23" s="26"/>
      <c r="H23" s="26"/>
      <c r="J23" s="26"/>
      <c r="K23" s="26"/>
      <c r="L23" s="26"/>
    </row>
    <row r="25" spans="1:14" x14ac:dyDescent="0.25">
      <c r="A25" s="23" t="s">
        <v>78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8" spans="1:14" x14ac:dyDescent="0.25">
      <c r="B28" s="27" t="s">
        <v>79</v>
      </c>
      <c r="C28" s="28"/>
      <c r="D28" s="28"/>
      <c r="F28" s="27" t="s">
        <v>75</v>
      </c>
      <c r="G28" s="27"/>
      <c r="H28" s="27"/>
      <c r="J28" s="27" t="s">
        <v>80</v>
      </c>
      <c r="K28" s="27"/>
      <c r="L28" s="27"/>
    </row>
    <row r="29" spans="1:14" x14ac:dyDescent="0.25">
      <c r="B29" s="22" t="str">
        <f>INDEX('Raw Player Data'!A:A, MATCH(MAX('Raw Player Data'!F:F), 'Raw Player Data'!F:F, 0))</f>
        <v>Liam Walker</v>
      </c>
      <c r="C29" s="22"/>
      <c r="D29" s="22"/>
      <c r="F29" s="22" t="str">
        <f>INDEX('Raw Player Data'!A2:A21, MATCH(MAX('Raw Player Data'!G2:G21), 'Raw Player Data'!G2:G21, 0))</f>
        <v>Henri Leclair</v>
      </c>
      <c r="G29" s="22"/>
      <c r="H29" s="22"/>
      <c r="J29" s="22" t="str">
        <f>INDEX('Raw Player Data'!A2:A21, MATCH(MAX('Raw Player Data'!Q2:Q21), 'Raw Player Data'!Q2:Q21, 0))</f>
        <v>Rafael Torres</v>
      </c>
      <c r="K29" s="22"/>
      <c r="L29" s="22"/>
    </row>
    <row r="30" spans="1:14" ht="15" customHeight="1" x14ac:dyDescent="0.25">
      <c r="B30" s="22"/>
      <c r="C30" s="22"/>
      <c r="D30" s="22"/>
      <c r="F30" s="22"/>
      <c r="G30" s="22"/>
      <c r="H30" s="22"/>
      <c r="J30" s="22"/>
      <c r="K30" s="22"/>
      <c r="L30" s="22"/>
    </row>
    <row r="31" spans="1:14" ht="15" customHeight="1" x14ac:dyDescent="0.25">
      <c r="B31" s="22"/>
      <c r="C31" s="22"/>
      <c r="D31" s="22"/>
      <c r="F31" s="22"/>
      <c r="G31" s="22"/>
      <c r="H31" s="22"/>
      <c r="J31" s="22"/>
      <c r="K31" s="22"/>
      <c r="L31" s="22"/>
    </row>
    <row r="32" spans="1:14" ht="15" customHeight="1" x14ac:dyDescent="0.25">
      <c r="B32" s="22"/>
      <c r="C32" s="22"/>
      <c r="D32" s="22"/>
      <c r="F32" s="22"/>
      <c r="G32" s="22"/>
      <c r="H32" s="22"/>
      <c r="J32" s="22"/>
      <c r="K32" s="22"/>
      <c r="L32" s="22"/>
    </row>
    <row r="33" spans="1:14" ht="15" customHeight="1" x14ac:dyDescent="0.25">
      <c r="B33" s="22"/>
      <c r="C33" s="22"/>
      <c r="D33" s="22"/>
      <c r="F33" s="22"/>
      <c r="G33" s="22"/>
      <c r="H33" s="22"/>
      <c r="J33" s="22"/>
      <c r="K33" s="22"/>
      <c r="L33" s="22"/>
    </row>
    <row r="35" spans="1:14" x14ac:dyDescent="0.25">
      <c r="A35" s="23" t="s">
        <v>81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8" spans="1:14" x14ac:dyDescent="0.25">
      <c r="E38" s="21" t="s">
        <v>1</v>
      </c>
      <c r="F38" s="21" t="s">
        <v>47</v>
      </c>
      <c r="G38" s="21" t="s">
        <v>48</v>
      </c>
      <c r="H38" s="21" t="s">
        <v>49</v>
      </c>
      <c r="I38" s="21" t="s">
        <v>50</v>
      </c>
      <c r="J38" s="21" t="s">
        <v>51</v>
      </c>
    </row>
    <row r="39" spans="1:14" x14ac:dyDescent="0.25">
      <c r="E39" s="20" t="s">
        <v>27</v>
      </c>
      <c r="F39" s="20">
        <f>SUMIF(Table1[Team],E39, Table1[Goals])</f>
        <v>33</v>
      </c>
      <c r="G39" s="20">
        <f>SUMIF(Table1[Team],E39, Table1[Assists])</f>
        <v>34</v>
      </c>
      <c r="H39" s="20">
        <f>ROUND(AVERAGEIF(Table1[Team],E39, Table1[Avg Match Rating]), 2)</f>
        <v>7.62</v>
      </c>
      <c r="I39" s="20">
        <f>ROUND(AVERAGEIF(Table1[Team],E39, Table1[Pass Accuracy (%)]), 2)</f>
        <v>83.8</v>
      </c>
      <c r="J39" s="20">
        <f>SUMIF(Table1[Team],E39,Table1[Tackles])</f>
        <v>315</v>
      </c>
      <c r="M39" s="20"/>
    </row>
    <row r="40" spans="1:14" x14ac:dyDescent="0.25">
      <c r="E40" s="20" t="s">
        <v>18</v>
      </c>
      <c r="F40" s="20">
        <f>SUMIF(Table1[Team],E40, Table1[Goals])</f>
        <v>54</v>
      </c>
      <c r="G40" s="20">
        <f>SUMIF(Table1[Team],E40, Table1[Assists])</f>
        <v>45</v>
      </c>
      <c r="H40" s="20">
        <f>ROUND(AVERAGEIF(Table1[Team],E40, Table1[Avg Match Rating]), 2)</f>
        <v>7.7</v>
      </c>
      <c r="I40" s="20">
        <f>ROUND(AVERAGEIF(Table1[Team],E40, Table1[Pass Accuracy (%)]), 2)</f>
        <v>82.4</v>
      </c>
      <c r="J40" s="20">
        <f>SUMIF(Table1[Team],E40,Table1[Tackles])</f>
        <v>218</v>
      </c>
    </row>
    <row r="41" spans="1:14" x14ac:dyDescent="0.25">
      <c r="E41" s="20" t="s">
        <v>21</v>
      </c>
      <c r="F41" s="20">
        <f>SUMIF(Table1[Team],E41, Table1[Goals])</f>
        <v>63</v>
      </c>
      <c r="G41" s="20">
        <f>SUMIF(Table1[Team],E41, Table1[Assists])</f>
        <v>46</v>
      </c>
      <c r="H41" s="20">
        <f>ROUND(AVERAGEIF(Table1[Team],E41, Table1[Avg Match Rating]), 2)</f>
        <v>7.82</v>
      </c>
      <c r="I41" s="20">
        <f>ROUND(AVERAGEIF(Table1[Team],E41, Table1[Pass Accuracy (%)]), 2)</f>
        <v>82.2</v>
      </c>
      <c r="J41" s="20">
        <f>SUMIF(Table1[Team],E41,Table1[Tackles])</f>
        <v>227</v>
      </c>
    </row>
    <row r="42" spans="1:14" x14ac:dyDescent="0.25">
      <c r="E42" s="20" t="s">
        <v>25</v>
      </c>
      <c r="F42" s="20">
        <f>SUMIF(Table1[Team],E42, Table1[Goals])</f>
        <v>46</v>
      </c>
      <c r="G42" s="20">
        <f>SUMIF(Table1[Team],E42, Table1[Assists])</f>
        <v>38</v>
      </c>
      <c r="H42" s="20">
        <f>ROUND(AVERAGEIF(Table1[Team],E42, Table1[Avg Match Rating]), 2)</f>
        <v>7.54</v>
      </c>
      <c r="I42" s="20">
        <f>ROUND(AVERAGEIF(Table1[Team],E42, Table1[Pass Accuracy (%)]), 2)</f>
        <v>80</v>
      </c>
      <c r="J42" s="20">
        <f>SUMIF(Table1[Team],E42,Table1[Tackles])</f>
        <v>224</v>
      </c>
    </row>
  </sheetData>
  <mergeCells count="30">
    <mergeCell ref="A1:N2"/>
    <mergeCell ref="B5:D9"/>
    <mergeCell ref="B4:D4"/>
    <mergeCell ref="F4:H4"/>
    <mergeCell ref="F5:H9"/>
    <mergeCell ref="J4:L4"/>
    <mergeCell ref="J5:L9"/>
    <mergeCell ref="J11:L11"/>
    <mergeCell ref="J12:L16"/>
    <mergeCell ref="B18:D18"/>
    <mergeCell ref="B19:D23"/>
    <mergeCell ref="F18:H18"/>
    <mergeCell ref="F19:H23"/>
    <mergeCell ref="J18:L18"/>
    <mergeCell ref="F11:H11"/>
    <mergeCell ref="B12:D12"/>
    <mergeCell ref="B13:D16"/>
    <mergeCell ref="F12:H12"/>
    <mergeCell ref="F13:H16"/>
    <mergeCell ref="B11:D11"/>
    <mergeCell ref="J29:L33"/>
    <mergeCell ref="A35:N36"/>
    <mergeCell ref="J19:L19"/>
    <mergeCell ref="J20:L23"/>
    <mergeCell ref="A25:N26"/>
    <mergeCell ref="B28:D28"/>
    <mergeCell ref="B29:D33"/>
    <mergeCell ref="F28:H28"/>
    <mergeCell ref="F29:H33"/>
    <mergeCell ref="J28:L28"/>
  </mergeCells>
  <conditionalFormatting sqref="F39:F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Player Data</vt:lpstr>
      <vt:lpstr>Team Summary</vt:lpstr>
      <vt:lpstr>Chart &amp; Visual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awangku azzam</cp:lastModifiedBy>
  <cp:revision>0</cp:revision>
  <dcterms:created xsi:type="dcterms:W3CDTF">2026-03-04T02:04:59Z</dcterms:created>
  <dcterms:modified xsi:type="dcterms:W3CDTF">2026-03-12T07:30:01Z</dcterms:modified>
  <dc:language>en-US</dc:language>
</cp:coreProperties>
</file>